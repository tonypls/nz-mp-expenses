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9a190e115f814922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0" yWindow="0" windowWidth="23040" windowHeight="9405"/>
  </bookViews>
  <sheets>
    <sheet name="All Parties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3" i="1" l="1"/>
  <c r="H124" i="1"/>
  <c r="H24" i="1"/>
  <c r="C9" i="1" l="1"/>
  <c r="D9" i="1"/>
</calcChain>
</file>

<file path=xl/sharedStrings.xml><?xml version="1.0" encoding="utf-8"?>
<sst xmlns="http://schemas.openxmlformats.org/spreadsheetml/2006/main" count="279" uniqueCount="153">
  <si>
    <t>Party</t>
  </si>
  <si>
    <t>Member</t>
  </si>
  <si>
    <t>Accommodation</t>
  </si>
  <si>
    <t>Travel</t>
  </si>
  <si>
    <t>Grand Total</t>
  </si>
  <si>
    <t>Wellington</t>
  </si>
  <si>
    <t>Air</t>
  </si>
  <si>
    <t>Surface</t>
  </si>
  <si>
    <t>Act</t>
  </si>
  <si>
    <t>Act Total</t>
  </si>
  <si>
    <t>Green</t>
  </si>
  <si>
    <t>Davidson Marama</t>
  </si>
  <si>
    <t>Green Total</t>
  </si>
  <si>
    <t>Labour</t>
  </si>
  <si>
    <t>Labour Total</t>
  </si>
  <si>
    <t>Maori</t>
  </si>
  <si>
    <t>Maori Total</t>
  </si>
  <si>
    <t>National</t>
  </si>
  <si>
    <t>National Total</t>
  </si>
  <si>
    <t>New Zealand First</t>
  </si>
  <si>
    <t>New Zealand First Total</t>
  </si>
  <si>
    <t>United Future</t>
  </si>
  <si>
    <t>United Future Total</t>
  </si>
  <si>
    <t>Seymour David</t>
  </si>
  <si>
    <t>Browning Steffan</t>
  </si>
  <si>
    <t>Clendon David</t>
  </si>
  <si>
    <t>Delahunty Catherine</t>
  </si>
  <si>
    <t>Genter Julie-Anne</t>
  </si>
  <si>
    <t>Graham Kennedy</t>
  </si>
  <si>
    <t>Hague Kevin</t>
  </si>
  <si>
    <t>Hughes Gareth</t>
  </si>
  <si>
    <t>Logie Jan</t>
  </si>
  <si>
    <t>Mathers Mojo</t>
  </si>
  <si>
    <t>Norman Russel</t>
  </si>
  <si>
    <t>Roche Denise</t>
  </si>
  <si>
    <t>Sage Eugenie</t>
  </si>
  <si>
    <t>Shaw James</t>
  </si>
  <si>
    <t>Turei Metiria</t>
  </si>
  <si>
    <t>Ardern Jacinda</t>
  </si>
  <si>
    <t>Clark David</t>
  </si>
  <si>
    <t>Cosgrove Clayton</t>
  </si>
  <si>
    <t>Cunliffe David</t>
  </si>
  <si>
    <t>Curran Clare</t>
  </si>
  <si>
    <t>Davis Kelvin</t>
  </si>
  <si>
    <t>Dyson Ruth</t>
  </si>
  <si>
    <t>Faafoi Kris</t>
  </si>
  <si>
    <t>Goff Phil</t>
  </si>
  <si>
    <t>Henare Peeni</t>
  </si>
  <si>
    <t>Hipkins Chris</t>
  </si>
  <si>
    <t>King Annette</t>
  </si>
  <si>
    <t>Lees-Galloway Iain</t>
  </si>
  <si>
    <t>Little Andrew</t>
  </si>
  <si>
    <t>Mahuta Nanaia</t>
  </si>
  <si>
    <t>Mallard Trevor</t>
  </si>
  <si>
    <t>Moroney Sue</t>
  </si>
  <si>
    <t>Nash Stuart</t>
  </si>
  <si>
    <t>O'Connor Damien</t>
  </si>
  <si>
    <t>Parker David</t>
  </si>
  <si>
    <t>Robertson Grant</t>
  </si>
  <si>
    <t>Rurawhe Adrian</t>
  </si>
  <si>
    <t>Sepuloni Carmel</t>
  </si>
  <si>
    <t>Shearer David</t>
  </si>
  <si>
    <t>Salesa Jenny</t>
  </si>
  <si>
    <t>Sio Su'a William</t>
  </si>
  <si>
    <t>Tirikatene Rino</t>
  </si>
  <si>
    <t>Twyford Phil</t>
  </si>
  <si>
    <t>Wall Louisa</t>
  </si>
  <si>
    <t>Whaitiri Meka</t>
  </si>
  <si>
    <t>Williams Poto</t>
  </si>
  <si>
    <t>Woods Megan</t>
  </si>
  <si>
    <t>Flavell Te Ururoa</t>
  </si>
  <si>
    <t>Fox Marama</t>
  </si>
  <si>
    <t>Adams Amy</t>
  </si>
  <si>
    <t>Bakshi Kanwaljit Singh</t>
  </si>
  <si>
    <t>Barclay Todd</t>
  </si>
  <si>
    <t>Barry Maggie</t>
  </si>
  <si>
    <t>Bayly Andrew</t>
  </si>
  <si>
    <t>Bennett David</t>
  </si>
  <si>
    <t>Bennett Paula</t>
  </si>
  <si>
    <t>Bishop Chris</t>
  </si>
  <si>
    <t>Borrows Chester</t>
  </si>
  <si>
    <t>Bridges Simon</t>
  </si>
  <si>
    <t>Brownlee Gerry</t>
  </si>
  <si>
    <t>Carter David</t>
  </si>
  <si>
    <t>Coleman Jonathan</t>
  </si>
  <si>
    <t>Collins Judith</t>
  </si>
  <si>
    <t>Dean Jacqui</t>
  </si>
  <si>
    <t>Doocey Matt</t>
  </si>
  <si>
    <t>Dowie Sarah</t>
  </si>
  <si>
    <t>English Bill</t>
  </si>
  <si>
    <t>Finlayson Chris</t>
  </si>
  <si>
    <t>Foss Craig</t>
  </si>
  <si>
    <t>Foster-Bell Paul</t>
  </si>
  <si>
    <t>Goldsmith Paul</t>
  </si>
  <si>
    <t>Goodhew Jo</t>
  </si>
  <si>
    <t>Groser Tim</t>
  </si>
  <si>
    <t>Guy Nathan</t>
  </si>
  <si>
    <t>Hayes Joanne</t>
  </si>
  <si>
    <t>Hudson Brett</t>
  </si>
  <si>
    <t>Joyce Steven</t>
  </si>
  <si>
    <t>Kaye Nikki</t>
  </si>
  <si>
    <t>Key John</t>
  </si>
  <si>
    <t>Kuriger Barbara</t>
  </si>
  <si>
    <t>Lee Melissa</t>
  </si>
  <si>
    <t>Lotu-liga Peseta Sam</t>
  </si>
  <si>
    <t>Macindoe Tim</t>
  </si>
  <si>
    <t>McClay Todd</t>
  </si>
  <si>
    <t>McCully Murray</t>
  </si>
  <si>
    <t>McKelvie Ian</t>
  </si>
  <si>
    <t>Mitchell Mark</t>
  </si>
  <si>
    <t>Muller Todd</t>
  </si>
  <si>
    <t>Naylor Jono</t>
  </si>
  <si>
    <t>Ngaro Alfred</t>
  </si>
  <si>
    <t>O'Connor Simon</t>
  </si>
  <si>
    <t>Parata Hekia</t>
  </si>
  <si>
    <t>Parmar Parmjeet</t>
  </si>
  <si>
    <t>Reti Shane</t>
  </si>
  <si>
    <t>Ross Jami-Lee</t>
  </si>
  <si>
    <t>Scott Alastair</t>
  </si>
  <si>
    <t>Smith Stuart</t>
  </si>
  <si>
    <t>Smith Nick</t>
  </si>
  <si>
    <t>Simpson Scott</t>
  </si>
  <si>
    <t>Tisch Lindsay</t>
  </si>
  <si>
    <t>Tolley Anne</t>
  </si>
  <si>
    <t>Upston Louise</t>
  </si>
  <si>
    <t>Wagner Nicky</t>
  </si>
  <si>
    <t>Williamson Maurice</t>
  </si>
  <si>
    <t>Woodhouse Michael</t>
  </si>
  <si>
    <t>Yang Jian</t>
  </si>
  <si>
    <t>Young Jonathan</t>
  </si>
  <si>
    <t>Ball Darroch</t>
  </si>
  <si>
    <t>Bindra Mahesh</t>
  </si>
  <si>
    <t>Bond Ria</t>
  </si>
  <si>
    <t>Mark Ron</t>
  </si>
  <si>
    <t>Martin Tracey</t>
  </si>
  <si>
    <t>Mitchell Clayton</t>
  </si>
  <si>
    <t>O'Rourke Denis</t>
  </si>
  <si>
    <t>Paraone Pita</t>
  </si>
  <si>
    <t>Peters Winston</t>
  </si>
  <si>
    <t>Prosser Richard</t>
  </si>
  <si>
    <t>Stewart Barbara</t>
  </si>
  <si>
    <t>Tabuteau Fletcher</t>
  </si>
  <si>
    <t>Dunne Peter</t>
  </si>
  <si>
    <t>Members Expense Disclosure - October to December 2015</t>
  </si>
  <si>
    <t>Pugh Maureen</t>
  </si>
  <si>
    <t>Korako Nuk (1)</t>
  </si>
  <si>
    <t>(1)</t>
  </si>
  <si>
    <t xml:space="preserve">$7,518 of the Wellington Accommodation for Nuk Korako relates to the current quarter, $19,101 is a back paid amount relating to prior quarters </t>
  </si>
  <si>
    <t>Subtotal Parliamentary Service</t>
  </si>
  <si>
    <t>Out of Wellington</t>
  </si>
  <si>
    <t>Inter Parliamentary - Office of the Clerk</t>
  </si>
  <si>
    <t xml:space="preserve"> - </t>
  </si>
  <si>
    <t>1,743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</si>
</sst>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_-* #,##0_-;[Red]\(#,##0\)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Border="1"/>
    <xf numFmtId="0" fontId="0" fillId="2" borderId="0" xfId="0" applyFill="1"/>
    <xf numFmtId="0" fontId="2" fillId="2" borderId="1" xfId="0" applyFont="1" applyFill="1" applyBorder="1"/>
    <xf numFmtId="0" fontId="2" fillId="2" borderId="3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164" fontId="0" fillId="2" borderId="3" xfId="1" applyNumberFormat="1" applyFont="1" applyFill="1" applyBorder="1"/>
    <xf numFmtId="164" fontId="0" fillId="2" borderId="5" xfId="1" applyNumberFormat="1" applyFont="1" applyFill="1" applyBorder="1"/>
    <xf numFmtId="0" fontId="2" fillId="2" borderId="7" xfId="0" applyFont="1" applyFill="1" applyBorder="1"/>
    <xf numFmtId="0" fontId="0" fillId="2" borderId="4" xfId="0" applyFill="1" applyBorder="1"/>
    <xf numFmtId="164" fontId="2" fillId="2" borderId="7" xfId="1" applyNumberFormat="1" applyFont="1" applyFill="1" applyBorder="1"/>
    <xf numFmtId="0" fontId="0" fillId="2" borderId="6" xfId="0" applyFill="1" applyBorder="1"/>
    <xf numFmtId="165" fontId="0" fillId="2" borderId="5" xfId="1" applyNumberFormat="1" applyFont="1" applyFill="1" applyBorder="1"/>
    <xf numFmtId="164" fontId="0" fillId="2" borderId="8" xfId="1" applyNumberFormat="1" applyFont="1" applyFill="1" applyBorder="1"/>
    <xf numFmtId="165" fontId="2" fillId="2" borderId="7" xfId="1" applyNumberFormat="1" applyFont="1" applyFill="1" applyBorder="1"/>
    <xf numFmtId="164" fontId="0" fillId="2" borderId="9" xfId="1" applyNumberFormat="1" applyFont="1" applyFill="1" applyBorder="1"/>
    <xf numFmtId="165" fontId="0" fillId="2" borderId="1" xfId="1" applyNumberFormat="1" applyFont="1" applyFill="1" applyBorder="1"/>
    <xf numFmtId="0" fontId="0" fillId="2" borderId="7" xfId="0" applyFill="1" applyBorder="1"/>
    <xf numFmtId="0" fontId="0" fillId="2" borderId="1" xfId="0" applyFill="1" applyBorder="1"/>
    <xf numFmtId="0" fontId="0" fillId="2" borderId="10" xfId="0" applyFill="1" applyBorder="1"/>
    <xf numFmtId="0" fontId="0" fillId="2" borderId="2" xfId="0" applyFill="1" applyBorder="1"/>
    <xf numFmtId="0" fontId="0" fillId="2" borderId="5" xfId="0" applyFill="1" applyBorder="1"/>
    <xf numFmtId="165" fontId="0" fillId="2" borderId="3" xfId="1" applyNumberFormat="1" applyFont="1" applyFill="1" applyBorder="1"/>
    <xf numFmtId="165" fontId="2" fillId="2" borderId="3" xfId="1" applyNumberFormat="1" applyFont="1" applyFill="1" applyBorder="1"/>
    <xf numFmtId="0" fontId="0" fillId="2" borderId="0" xfId="0" quotePrefix="1" applyFill="1" applyAlignment="1">
      <alignment horizontal="right" vertical="top"/>
    </xf>
    <xf numFmtId="0" fontId="0" fillId="0" borderId="0" xfId="0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0" xfId="0" applyFont="1" applyFill="1"/>
    <xf numFmtId="0" fontId="0" fillId="2" borderId="5" xfId="0" applyFont="1" applyFill="1" applyBorder="1"/>
    <xf numFmtId="164" fontId="1" fillId="2" borderId="5" xfId="1" applyNumberFormat="1" applyFont="1" applyFill="1" applyBorder="1"/>
    <xf numFmtId="164" fontId="1" fillId="2" borderId="7" xfId="1" applyNumberFormat="1" applyFont="1" applyFill="1" applyBorder="1"/>
    <xf numFmtId="165" fontId="1" fillId="2" borderId="5" xfId="1" applyNumberFormat="1" applyFont="1" applyFill="1" applyBorder="1"/>
    <xf numFmtId="165" fontId="1" fillId="2" borderId="1" xfId="1" applyNumberFormat="1" applyFont="1" applyFill="1" applyBorder="1"/>
    <xf numFmtId="165" fontId="1" fillId="2" borderId="3" xfId="1" applyNumberFormat="1" applyFont="1" applyFill="1" applyBorder="1"/>
    <xf numFmtId="43" fontId="0" fillId="2" borderId="5" xfId="1" applyFont="1" applyFill="1" applyBorder="1" applyAlignment="1">
      <alignment horizontal="right"/>
    </xf>
    <xf numFmtId="164" fontId="1" fillId="2" borderId="5" xfId="1" applyNumberFormat="1" applyFont="1" applyFill="1" applyBorder="1" applyAlignment="1">
      <alignment horizontal="right"/>
    </xf>
    <xf numFmtId="164" fontId="0" fillId="2" borderId="5" xfId="1" applyNumberFormat="1" applyFont="1" applyFill="1" applyBorder="1" applyAlignment="1">
      <alignment horizontal="right"/>
    </xf>
    <xf numFmtId="164" fontId="0" fillId="2" borderId="7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1" fillId="2" borderId="0" xfId="1" applyNumberFormat="1" applyFont="1" applyFill="1" applyBorder="1" applyAlignment="1">
      <alignment horizontal="right"/>
    </xf>
    <xf numFmtId="165" fontId="0" fillId="0" borderId="0" xfId="0" applyNumberFormat="1"/>
    <xf numFmtId="164" fontId="2" fillId="2" borderId="1" xfId="1" applyNumberFormat="1" applyFont="1" applyFill="1" applyBorder="1" applyAlignment="1">
      <alignment horizontal="center" vertical="center" wrapText="1"/>
    </xf>
    <xf numFmtId="164" fontId="2" fillId="2" borderId="3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I145"/>
  <sheetViews>
    <sheetView tabSelected="1" topLeftCell="A124" zoomScale="90" zoomScaleNormal="90" workbookViewId="0">
      <selection activeCell="G144" sqref="G144"/>
    </sheetView>
  </sheetViews>
  <sheetFormatPr defaultColWidth="9.140625" defaultRowHeight="15" x14ac:dyDescent="0.25"/>
  <cols>
    <col min="1" max="1" width="18.28515625" style="2" customWidth="1"/>
    <col min="2" max="2" width="26.5703125" style="2" bestFit="1" customWidth="1"/>
    <col min="3" max="3" width="15.7109375" style="2" bestFit="1" customWidth="1"/>
    <col min="4" max="4" width="15.140625" style="2" customWidth="1"/>
    <col min="5" max="6" width="13.28515625" style="2" customWidth="1"/>
    <col min="7" max="7" width="13.28515625" style="28" bestFit="1" customWidth="1"/>
    <col min="8" max="8" width="16.7109375" style="40" customWidth="1"/>
  </cols>
  <sheetData>
    <row r="1" spans="1:8" ht="22.5" customHeight="1" x14ac:dyDescent="0.25">
      <c r="A1" s="44" t="s">
        <v>143</v>
      </c>
      <c r="B1" s="44"/>
      <c r="C1" s="44"/>
      <c r="D1" s="44"/>
      <c r="E1" s="44"/>
      <c r="F1" s="44"/>
      <c r="G1" s="44"/>
      <c r="H1" s="44"/>
    </row>
    <row r="2" spans="1:8" ht="15.75" thickBot="1" x14ac:dyDescent="0.3">
      <c r="A2" s="45"/>
      <c r="B2" s="45"/>
      <c r="C2" s="45"/>
      <c r="D2" s="45"/>
      <c r="E2" s="45"/>
      <c r="F2" s="45"/>
      <c r="G2" s="45"/>
      <c r="H2" s="45"/>
    </row>
    <row r="3" spans="1:8" s="26" customFormat="1" ht="15" customHeight="1" thickBot="1" x14ac:dyDescent="0.3">
      <c r="A3" s="47" t="s">
        <v>0</v>
      </c>
      <c r="B3" s="47" t="s">
        <v>1</v>
      </c>
      <c r="C3" s="49" t="s">
        <v>2</v>
      </c>
      <c r="D3" s="50"/>
      <c r="E3" s="49" t="s">
        <v>3</v>
      </c>
      <c r="F3" s="50"/>
      <c r="G3" s="47" t="s">
        <v>148</v>
      </c>
      <c r="H3" s="42" t="s">
        <v>150</v>
      </c>
    </row>
    <row r="4" spans="1:8" s="26" customFormat="1" ht="30.75" thickBot="1" x14ac:dyDescent="0.3">
      <c r="A4" s="48"/>
      <c r="B4" s="48"/>
      <c r="C4" s="27" t="s">
        <v>5</v>
      </c>
      <c r="D4" s="27" t="s">
        <v>149</v>
      </c>
      <c r="E4" s="27" t="s">
        <v>6</v>
      </c>
      <c r="F4" s="27" t="s">
        <v>7</v>
      </c>
      <c r="G4" s="48"/>
      <c r="H4" s="43"/>
    </row>
    <row r="5" spans="1:8" x14ac:dyDescent="0.25">
      <c r="A5" s="5"/>
      <c r="B5" s="6"/>
      <c r="C5" s="5"/>
      <c r="D5" s="5"/>
      <c r="E5" s="5"/>
      <c r="F5" s="5"/>
      <c r="G5" s="29"/>
      <c r="H5" s="36"/>
    </row>
    <row r="6" spans="1:8" ht="15.75" thickBot="1" x14ac:dyDescent="0.3">
      <c r="A6" s="5" t="s">
        <v>8</v>
      </c>
      <c r="B6" s="7" t="s">
        <v>23</v>
      </c>
      <c r="C6" s="8">
        <v>0</v>
      </c>
      <c r="D6" s="8">
        <v>0</v>
      </c>
      <c r="E6" s="8">
        <v>0</v>
      </c>
      <c r="F6" s="8">
        <v>0</v>
      </c>
      <c r="G6" s="30">
        <v>0</v>
      </c>
      <c r="H6" s="37" t="s">
        <v>151</v>
      </c>
    </row>
    <row r="7" spans="1:8" ht="15.75" thickBot="1" x14ac:dyDescent="0.3">
      <c r="A7" s="9" t="s">
        <v>9</v>
      </c>
      <c r="B7" s="10"/>
      <c r="C7" s="11">
        <v>0</v>
      </c>
      <c r="D7" s="11">
        <v>0</v>
      </c>
      <c r="E7" s="11">
        <v>0</v>
      </c>
      <c r="F7" s="11">
        <v>0</v>
      </c>
      <c r="G7" s="31">
        <v>0</v>
      </c>
      <c r="H7" s="38" t="s">
        <v>151</v>
      </c>
    </row>
    <row r="8" spans="1:8" x14ac:dyDescent="0.25">
      <c r="A8" s="5"/>
      <c r="B8" s="12"/>
      <c r="C8" s="8"/>
      <c r="D8" s="8"/>
      <c r="E8" s="8"/>
      <c r="F8" s="8"/>
      <c r="G8" s="30"/>
      <c r="H8" s="36"/>
    </row>
    <row r="9" spans="1:8" x14ac:dyDescent="0.25">
      <c r="A9" s="5" t="s">
        <v>10</v>
      </c>
      <c r="B9" s="8" t="s">
        <v>24</v>
      </c>
      <c r="C9" s="13">
        <f>7675.18-157.39</f>
        <v>7517.79</v>
      </c>
      <c r="D9" s="13">
        <f>1513.92+157.39</f>
        <v>1671.31</v>
      </c>
      <c r="E9" s="13">
        <v>9094.15</v>
      </c>
      <c r="F9" s="13">
        <v>6481.2</v>
      </c>
      <c r="G9" s="32">
        <v>24764.45</v>
      </c>
      <c r="H9" s="37" t="s">
        <v>151</v>
      </c>
    </row>
    <row r="10" spans="1:8" x14ac:dyDescent="0.25">
      <c r="A10" s="5"/>
      <c r="B10" s="8" t="s">
        <v>25</v>
      </c>
      <c r="C10" s="13">
        <v>7517.79</v>
      </c>
      <c r="D10" s="13">
        <v>1137.6399999999999</v>
      </c>
      <c r="E10" s="13">
        <v>6876.59</v>
      </c>
      <c r="F10" s="13">
        <v>2764.1400000000003</v>
      </c>
      <c r="G10" s="32">
        <v>18296.16</v>
      </c>
      <c r="H10" s="37" t="s">
        <v>151</v>
      </c>
    </row>
    <row r="11" spans="1:8" x14ac:dyDescent="0.25">
      <c r="A11" s="5"/>
      <c r="B11" s="8" t="s">
        <v>26</v>
      </c>
      <c r="C11" s="13">
        <v>5262.46</v>
      </c>
      <c r="D11" s="13">
        <v>900.77</v>
      </c>
      <c r="E11" s="13">
        <v>5380.4500000000007</v>
      </c>
      <c r="F11" s="13">
        <v>4259.83</v>
      </c>
      <c r="G11" s="32">
        <v>15803.51</v>
      </c>
      <c r="H11" s="37" t="s">
        <v>151</v>
      </c>
    </row>
    <row r="12" spans="1:8" x14ac:dyDescent="0.25">
      <c r="A12" s="5"/>
      <c r="B12" s="8" t="s">
        <v>11</v>
      </c>
      <c r="C12" s="13">
        <v>1765</v>
      </c>
      <c r="D12" s="13">
        <v>236</v>
      </c>
      <c r="E12" s="13">
        <v>6961</v>
      </c>
      <c r="F12" s="13">
        <v>1612</v>
      </c>
      <c r="G12" s="32">
        <v>10574</v>
      </c>
      <c r="H12" s="37" t="s">
        <v>151</v>
      </c>
    </row>
    <row r="13" spans="1:8" x14ac:dyDescent="0.25">
      <c r="A13" s="5"/>
      <c r="B13" s="8" t="s">
        <v>27</v>
      </c>
      <c r="C13" s="13">
        <v>4510.66</v>
      </c>
      <c r="D13" s="13">
        <v>476.61</v>
      </c>
      <c r="E13" s="13">
        <v>10374.34</v>
      </c>
      <c r="F13" s="13">
        <v>2086.7000000000003</v>
      </c>
      <c r="G13" s="32">
        <v>17448.310000000001</v>
      </c>
      <c r="H13" s="37" t="s">
        <v>151</v>
      </c>
    </row>
    <row r="14" spans="1:8" x14ac:dyDescent="0.25">
      <c r="A14" s="5"/>
      <c r="B14" s="8" t="s">
        <v>28</v>
      </c>
      <c r="C14" s="13">
        <v>7517.79</v>
      </c>
      <c r="D14" s="13">
        <v>128</v>
      </c>
      <c r="E14" s="13">
        <v>11952.550000000001</v>
      </c>
      <c r="F14" s="13">
        <v>2689.5600000000004</v>
      </c>
      <c r="G14" s="32">
        <v>22287.9</v>
      </c>
      <c r="H14" s="36">
        <v>13427.65</v>
      </c>
    </row>
    <row r="15" spans="1:8" x14ac:dyDescent="0.25">
      <c r="A15" s="5"/>
      <c r="B15" s="8" t="s">
        <v>29</v>
      </c>
      <c r="C15" s="13">
        <v>7517.79</v>
      </c>
      <c r="D15" s="13">
        <v>341.48</v>
      </c>
      <c r="E15" s="13">
        <v>8050.65</v>
      </c>
      <c r="F15" s="13">
        <v>1869.04</v>
      </c>
      <c r="G15" s="32">
        <v>17778.96</v>
      </c>
      <c r="H15" s="37" t="s">
        <v>151</v>
      </c>
    </row>
    <row r="16" spans="1:8" x14ac:dyDescent="0.25">
      <c r="A16" s="5"/>
      <c r="B16" s="8" t="s">
        <v>30</v>
      </c>
      <c r="C16" s="13">
        <v>0</v>
      </c>
      <c r="D16" s="13">
        <v>142</v>
      </c>
      <c r="E16" s="13">
        <v>8917.31</v>
      </c>
      <c r="F16" s="13">
        <v>632.41999999999996</v>
      </c>
      <c r="G16" s="32">
        <v>9691.73</v>
      </c>
      <c r="H16" s="37" t="s">
        <v>151</v>
      </c>
    </row>
    <row r="17" spans="1:9" x14ac:dyDescent="0.25">
      <c r="A17" s="5"/>
      <c r="B17" s="8" t="s">
        <v>31</v>
      </c>
      <c r="C17" s="13">
        <v>0</v>
      </c>
      <c r="D17" s="13">
        <v>626.59</v>
      </c>
      <c r="E17" s="13">
        <v>3663.37</v>
      </c>
      <c r="F17" s="13">
        <v>3960.17</v>
      </c>
      <c r="G17" s="32">
        <v>8250.130000000001</v>
      </c>
      <c r="H17" s="37" t="s">
        <v>151</v>
      </c>
    </row>
    <row r="18" spans="1:9" x14ac:dyDescent="0.25">
      <c r="A18" s="5"/>
      <c r="B18" s="8" t="s">
        <v>32</v>
      </c>
      <c r="C18" s="13">
        <v>7517.79</v>
      </c>
      <c r="D18" s="13">
        <v>113.04</v>
      </c>
      <c r="E18" s="13">
        <v>4303.58</v>
      </c>
      <c r="F18" s="13">
        <v>2314.54</v>
      </c>
      <c r="G18" s="32">
        <v>14248.95</v>
      </c>
      <c r="H18" s="37" t="s">
        <v>151</v>
      </c>
    </row>
    <row r="19" spans="1:9" x14ac:dyDescent="0.25">
      <c r="A19" s="5"/>
      <c r="B19" s="8" t="s">
        <v>33</v>
      </c>
      <c r="C19" s="13">
        <v>0</v>
      </c>
      <c r="D19" s="13">
        <v>164.43</v>
      </c>
      <c r="E19" s="13">
        <v>2611.41</v>
      </c>
      <c r="F19" s="13">
        <v>1402.77</v>
      </c>
      <c r="G19" s="32">
        <v>4178.6099999999997</v>
      </c>
      <c r="H19" s="37" t="s">
        <v>151</v>
      </c>
    </row>
    <row r="20" spans="1:9" x14ac:dyDescent="0.25">
      <c r="A20" s="5"/>
      <c r="B20" s="8" t="s">
        <v>34</v>
      </c>
      <c r="C20" s="13">
        <v>6136.98</v>
      </c>
      <c r="D20" s="13">
        <v>925.08999999999992</v>
      </c>
      <c r="E20" s="13">
        <v>8622.61</v>
      </c>
      <c r="F20" s="13">
        <v>6024.68</v>
      </c>
      <c r="G20" s="32">
        <v>21709.360000000001</v>
      </c>
      <c r="H20" s="37" t="s">
        <v>151</v>
      </c>
    </row>
    <row r="21" spans="1:9" x14ac:dyDescent="0.25">
      <c r="A21" s="5"/>
      <c r="B21" s="8" t="s">
        <v>35</v>
      </c>
      <c r="C21" s="13">
        <v>5262.46</v>
      </c>
      <c r="D21" s="13">
        <v>234.78</v>
      </c>
      <c r="E21" s="13">
        <v>4795.38</v>
      </c>
      <c r="F21" s="13">
        <v>2756.74</v>
      </c>
      <c r="G21" s="32">
        <v>13049.359999999999</v>
      </c>
      <c r="H21" s="37" t="s">
        <v>151</v>
      </c>
    </row>
    <row r="22" spans="1:9" x14ac:dyDescent="0.25">
      <c r="A22" s="5"/>
      <c r="B22" s="8" t="s">
        <v>36</v>
      </c>
      <c r="C22" s="13">
        <v>0</v>
      </c>
      <c r="D22" s="13">
        <v>2389.34</v>
      </c>
      <c r="E22" s="13">
        <v>14425.35</v>
      </c>
      <c r="F22" s="13">
        <v>2867.2200000000003</v>
      </c>
      <c r="G22" s="32">
        <v>19681.910000000003</v>
      </c>
      <c r="H22" s="37" t="s">
        <v>151</v>
      </c>
    </row>
    <row r="23" spans="1:9" ht="15.75" thickBot="1" x14ac:dyDescent="0.3">
      <c r="A23" s="5"/>
      <c r="B23" s="8" t="s">
        <v>37</v>
      </c>
      <c r="C23" s="13">
        <v>7517.79</v>
      </c>
      <c r="D23" s="13">
        <v>546.78</v>
      </c>
      <c r="E23" s="13">
        <v>13851.82</v>
      </c>
      <c r="F23" s="13">
        <v>1485.08</v>
      </c>
      <c r="G23" s="32">
        <v>23401.47</v>
      </c>
      <c r="H23" s="37" t="s">
        <v>151</v>
      </c>
    </row>
    <row r="24" spans="1:9" ht="15.75" thickBot="1" x14ac:dyDescent="0.3">
      <c r="A24" s="9" t="s">
        <v>12</v>
      </c>
      <c r="B24" s="14"/>
      <c r="C24" s="15">
        <v>68044</v>
      </c>
      <c r="D24" s="15">
        <v>10034</v>
      </c>
      <c r="E24" s="15">
        <v>119880.56000000003</v>
      </c>
      <c r="F24" s="15">
        <v>43206.090000000004</v>
      </c>
      <c r="G24" s="15">
        <v>241164.81</v>
      </c>
      <c r="H24" s="39">
        <f>SUM(H9:H23)</f>
        <v>13427.65</v>
      </c>
      <c r="I24" s="41"/>
    </row>
    <row r="25" spans="1:9" x14ac:dyDescent="0.25">
      <c r="A25" s="5"/>
      <c r="B25" s="16"/>
      <c r="C25" s="17"/>
      <c r="D25" s="17"/>
      <c r="E25" s="17"/>
      <c r="F25" s="17"/>
      <c r="G25" s="32"/>
      <c r="H25" s="36"/>
    </row>
    <row r="26" spans="1:9" x14ac:dyDescent="0.25">
      <c r="A26" s="5" t="s">
        <v>13</v>
      </c>
      <c r="B26" s="8" t="s">
        <v>38</v>
      </c>
      <c r="C26" s="8">
        <v>7517.79</v>
      </c>
      <c r="D26" s="8">
        <v>612.16999999999996</v>
      </c>
      <c r="E26" s="8">
        <v>9409.67</v>
      </c>
      <c r="F26" s="8">
        <v>4729.49</v>
      </c>
      <c r="G26" s="32">
        <v>22269.120000000003</v>
      </c>
      <c r="H26" s="37" t="s">
        <v>151</v>
      </c>
    </row>
    <row r="27" spans="1:9" x14ac:dyDescent="0.25">
      <c r="A27" s="5"/>
      <c r="B27" s="8" t="s">
        <v>39</v>
      </c>
      <c r="C27" s="8">
        <v>5262.46</v>
      </c>
      <c r="D27" s="8">
        <v>167.39</v>
      </c>
      <c r="E27" s="8">
        <v>4763.7299999999996</v>
      </c>
      <c r="F27" s="8">
        <v>2725.93</v>
      </c>
      <c r="G27" s="32">
        <v>12919.51</v>
      </c>
      <c r="H27" s="37" t="s">
        <v>151</v>
      </c>
    </row>
    <row r="28" spans="1:9" x14ac:dyDescent="0.25">
      <c r="A28" s="5"/>
      <c r="B28" s="8" t="s">
        <v>40</v>
      </c>
      <c r="C28" s="8">
        <v>2458.58</v>
      </c>
      <c r="D28" s="8">
        <v>326.08999999999997</v>
      </c>
      <c r="E28" s="8">
        <v>7914.69</v>
      </c>
      <c r="F28" s="8">
        <v>2736.5299999999997</v>
      </c>
      <c r="G28" s="32">
        <v>13435.89</v>
      </c>
      <c r="H28" s="37" t="s">
        <v>151</v>
      </c>
    </row>
    <row r="29" spans="1:9" x14ac:dyDescent="0.25">
      <c r="A29" s="5"/>
      <c r="B29" s="8" t="s">
        <v>41</v>
      </c>
      <c r="C29" s="8">
        <v>7517.79</v>
      </c>
      <c r="D29" s="8">
        <v>674.78</v>
      </c>
      <c r="E29" s="8">
        <v>9506.57</v>
      </c>
      <c r="F29" s="8">
        <v>6510.83</v>
      </c>
      <c r="G29" s="32">
        <v>24209.97</v>
      </c>
      <c r="H29" s="37" t="s">
        <v>151</v>
      </c>
    </row>
    <row r="30" spans="1:9" x14ac:dyDescent="0.25">
      <c r="A30" s="5"/>
      <c r="B30" s="8" t="s">
        <v>42</v>
      </c>
      <c r="C30" s="8">
        <v>7517.79</v>
      </c>
      <c r="D30" s="8">
        <v>987.79</v>
      </c>
      <c r="E30" s="8">
        <v>5895.92</v>
      </c>
      <c r="F30" s="8">
        <v>5015.93</v>
      </c>
      <c r="G30" s="32">
        <v>19417.43</v>
      </c>
      <c r="H30" s="37" t="s">
        <v>151</v>
      </c>
    </row>
    <row r="31" spans="1:9" x14ac:dyDescent="0.25">
      <c r="A31" s="5"/>
      <c r="B31" s="8" t="s">
        <v>43</v>
      </c>
      <c r="C31" s="8">
        <v>7517.79</v>
      </c>
      <c r="D31" s="8">
        <v>2299.7800000000002</v>
      </c>
      <c r="E31" s="8">
        <v>10682.689999999999</v>
      </c>
      <c r="F31" s="8">
        <v>10793.300000000001</v>
      </c>
      <c r="G31" s="32">
        <v>31293.559999999998</v>
      </c>
      <c r="H31" s="37" t="s">
        <v>151</v>
      </c>
    </row>
    <row r="32" spans="1:9" x14ac:dyDescent="0.25">
      <c r="A32" s="5"/>
      <c r="B32" s="8" t="s">
        <v>44</v>
      </c>
      <c r="C32" s="8">
        <v>7517.79</v>
      </c>
      <c r="D32" s="8">
        <v>967.39</v>
      </c>
      <c r="E32" s="8">
        <v>9926.7199999999993</v>
      </c>
      <c r="F32" s="8">
        <v>5782.08</v>
      </c>
      <c r="G32" s="32">
        <v>24193.980000000003</v>
      </c>
      <c r="H32" s="37" t="s">
        <v>151</v>
      </c>
    </row>
    <row r="33" spans="1:8" x14ac:dyDescent="0.25">
      <c r="A33" s="5"/>
      <c r="B33" s="8" t="s">
        <v>45</v>
      </c>
      <c r="C33" s="35" t="s">
        <v>151</v>
      </c>
      <c r="D33" s="8">
        <v>958.69999999999993</v>
      </c>
      <c r="E33" s="8">
        <v>3767.2</v>
      </c>
      <c r="F33" s="8">
        <v>5986.82</v>
      </c>
      <c r="G33" s="32">
        <v>10712.72</v>
      </c>
      <c r="H33" s="37" t="s">
        <v>151</v>
      </c>
    </row>
    <row r="34" spans="1:8" x14ac:dyDescent="0.25">
      <c r="A34" s="5"/>
      <c r="B34" s="8" t="s">
        <v>46</v>
      </c>
      <c r="C34" s="8">
        <v>991.29</v>
      </c>
      <c r="D34" s="35" t="s">
        <v>151</v>
      </c>
      <c r="E34" s="8">
        <v>7174.8200000000006</v>
      </c>
      <c r="F34" s="8">
        <v>7440.14</v>
      </c>
      <c r="G34" s="32">
        <v>15606.25</v>
      </c>
      <c r="H34" s="37" t="s">
        <v>151</v>
      </c>
    </row>
    <row r="35" spans="1:8" x14ac:dyDescent="0.25">
      <c r="A35" s="5"/>
      <c r="B35" s="8" t="s">
        <v>47</v>
      </c>
      <c r="C35" s="8">
        <v>1321.73</v>
      </c>
      <c r="D35" s="8">
        <v>992.95</v>
      </c>
      <c r="E35" s="8">
        <v>4287.7300000000005</v>
      </c>
      <c r="F35" s="8">
        <v>8360.2900000000009</v>
      </c>
      <c r="G35" s="32">
        <v>14962.7</v>
      </c>
      <c r="H35" s="36">
        <v>2532.12</v>
      </c>
    </row>
    <row r="36" spans="1:8" x14ac:dyDescent="0.25">
      <c r="A36" s="5"/>
      <c r="B36" s="8" t="s">
        <v>48</v>
      </c>
      <c r="C36" s="35" t="s">
        <v>151</v>
      </c>
      <c r="D36" s="8">
        <v>1392.7599999999998</v>
      </c>
      <c r="E36" s="8">
        <v>4902.84</v>
      </c>
      <c r="F36" s="8">
        <v>4199.05</v>
      </c>
      <c r="G36" s="32">
        <v>10494.650000000001</v>
      </c>
      <c r="H36" s="37" t="s">
        <v>151</v>
      </c>
    </row>
    <row r="37" spans="1:8" x14ac:dyDescent="0.25">
      <c r="A37" s="5"/>
      <c r="B37" s="8" t="s">
        <v>49</v>
      </c>
      <c r="C37" s="35" t="s">
        <v>151</v>
      </c>
      <c r="D37" s="8">
        <v>1565.9099999999999</v>
      </c>
      <c r="E37" s="8">
        <v>5632.34</v>
      </c>
      <c r="F37" s="8">
        <v>3486.71</v>
      </c>
      <c r="G37" s="32">
        <v>10684.96</v>
      </c>
      <c r="H37" s="36">
        <v>13190.68</v>
      </c>
    </row>
    <row r="38" spans="1:8" x14ac:dyDescent="0.25">
      <c r="A38" s="5"/>
      <c r="B38" s="8" t="s">
        <v>50</v>
      </c>
      <c r="C38" s="8">
        <v>5262.46</v>
      </c>
      <c r="D38" s="8">
        <v>1374.5</v>
      </c>
      <c r="E38" s="8">
        <v>2393.52</v>
      </c>
      <c r="F38" s="8">
        <v>2704.32</v>
      </c>
      <c r="G38" s="32">
        <v>11734.8</v>
      </c>
      <c r="H38" s="37" t="s">
        <v>151</v>
      </c>
    </row>
    <row r="39" spans="1:8" x14ac:dyDescent="0.25">
      <c r="A39" s="5"/>
      <c r="B39" s="8" t="s">
        <v>51</v>
      </c>
      <c r="C39" s="35" t="s">
        <v>151</v>
      </c>
      <c r="D39" s="8">
        <v>6134.9000000000005</v>
      </c>
      <c r="E39" s="8">
        <v>14693.16</v>
      </c>
      <c r="F39" s="8">
        <v>13774.06</v>
      </c>
      <c r="G39" s="32">
        <v>34602.120000000003</v>
      </c>
      <c r="H39" s="37" t="s">
        <v>151</v>
      </c>
    </row>
    <row r="40" spans="1:8" x14ac:dyDescent="0.25">
      <c r="A40" s="5"/>
      <c r="B40" s="8" t="s">
        <v>52</v>
      </c>
      <c r="C40" s="8">
        <v>7517.79</v>
      </c>
      <c r="D40" s="8">
        <v>2559.14</v>
      </c>
      <c r="E40" s="8">
        <v>10131.36</v>
      </c>
      <c r="F40" s="8">
        <v>7138.32</v>
      </c>
      <c r="G40" s="32">
        <v>27346.61</v>
      </c>
      <c r="H40" s="37" t="s">
        <v>151</v>
      </c>
    </row>
    <row r="41" spans="1:8" x14ac:dyDescent="0.25">
      <c r="A41" s="5"/>
      <c r="B41" s="8" t="s">
        <v>53</v>
      </c>
      <c r="C41" s="35" t="s">
        <v>151</v>
      </c>
      <c r="D41" s="8">
        <v>938.26</v>
      </c>
      <c r="E41" s="8">
        <v>1730.16</v>
      </c>
      <c r="F41" s="8">
        <v>8610.2799999999988</v>
      </c>
      <c r="G41" s="32">
        <v>11278.699999999999</v>
      </c>
      <c r="H41" s="37" t="s">
        <v>151</v>
      </c>
    </row>
    <row r="42" spans="1:8" x14ac:dyDescent="0.25">
      <c r="A42" s="5"/>
      <c r="B42" s="8" t="s">
        <v>54</v>
      </c>
      <c r="C42" s="8">
        <v>5262.46</v>
      </c>
      <c r="D42" s="8">
        <v>1013.1299999999999</v>
      </c>
      <c r="E42" s="8">
        <v>8509.35</v>
      </c>
      <c r="F42" s="8">
        <v>1706.15</v>
      </c>
      <c r="G42" s="32">
        <v>16491.09</v>
      </c>
      <c r="H42" s="37" t="s">
        <v>151</v>
      </c>
    </row>
    <row r="43" spans="1:8" x14ac:dyDescent="0.25">
      <c r="A43" s="5"/>
      <c r="B43" s="8" t="s">
        <v>55</v>
      </c>
      <c r="C43" s="8">
        <v>6927.67</v>
      </c>
      <c r="D43" s="8">
        <v>546.29</v>
      </c>
      <c r="E43" s="8">
        <v>9656.16</v>
      </c>
      <c r="F43" s="8">
        <v>5691.9599999999991</v>
      </c>
      <c r="G43" s="32">
        <v>22822.079999999998</v>
      </c>
      <c r="H43" s="37" t="s">
        <v>151</v>
      </c>
    </row>
    <row r="44" spans="1:8" x14ac:dyDescent="0.25">
      <c r="A44" s="5"/>
      <c r="B44" s="8" t="s">
        <v>56</v>
      </c>
      <c r="C44" s="8">
        <v>1224.3900000000001</v>
      </c>
      <c r="D44" s="8">
        <v>175.64</v>
      </c>
      <c r="E44" s="8">
        <v>11862.02</v>
      </c>
      <c r="F44" s="8">
        <v>9745.93</v>
      </c>
      <c r="G44" s="32">
        <v>23007.980000000003</v>
      </c>
      <c r="H44" s="37" t="s">
        <v>151</v>
      </c>
    </row>
    <row r="45" spans="1:8" x14ac:dyDescent="0.25">
      <c r="A45" s="5"/>
      <c r="B45" s="8" t="s">
        <v>57</v>
      </c>
      <c r="C45" s="8">
        <v>3447.68</v>
      </c>
      <c r="D45" s="8">
        <v>1064.57</v>
      </c>
      <c r="E45" s="8">
        <v>11715.029999999999</v>
      </c>
      <c r="F45" s="8">
        <v>5379.51</v>
      </c>
      <c r="G45" s="32">
        <v>21606.79</v>
      </c>
      <c r="H45" s="37" t="s">
        <v>151</v>
      </c>
    </row>
    <row r="46" spans="1:8" x14ac:dyDescent="0.25">
      <c r="A46" s="5"/>
      <c r="B46" s="8" t="s">
        <v>58</v>
      </c>
      <c r="C46" s="35" t="s">
        <v>151</v>
      </c>
      <c r="D46" s="8">
        <v>1763.5400000000002</v>
      </c>
      <c r="E46" s="8">
        <v>10849.470000000001</v>
      </c>
      <c r="F46" s="8">
        <v>5320.99</v>
      </c>
      <c r="G46" s="32">
        <v>17934</v>
      </c>
      <c r="H46" s="37" t="s">
        <v>151</v>
      </c>
    </row>
    <row r="47" spans="1:8" x14ac:dyDescent="0.25">
      <c r="A47" s="5"/>
      <c r="B47" s="8" t="s">
        <v>59</v>
      </c>
      <c r="C47" s="8">
        <v>7517.79</v>
      </c>
      <c r="D47" s="8">
        <v>3213.56</v>
      </c>
      <c r="E47" s="8">
        <v>7296.85</v>
      </c>
      <c r="F47" s="8">
        <v>5266.9800000000005</v>
      </c>
      <c r="G47" s="32">
        <v>23295.18</v>
      </c>
      <c r="H47" s="37" t="s">
        <v>151</v>
      </c>
    </row>
    <row r="48" spans="1:8" x14ac:dyDescent="0.25">
      <c r="A48" s="5"/>
      <c r="B48" s="8" t="s">
        <v>60</v>
      </c>
      <c r="C48" s="8">
        <v>5262.46</v>
      </c>
      <c r="D48" s="8">
        <v>946.34999999999991</v>
      </c>
      <c r="E48" s="8">
        <v>11531.63</v>
      </c>
      <c r="F48" s="8">
        <v>10505.42</v>
      </c>
      <c r="G48" s="32">
        <v>28245.86</v>
      </c>
      <c r="H48" s="37" t="s">
        <v>151</v>
      </c>
    </row>
    <row r="49" spans="1:9" x14ac:dyDescent="0.25">
      <c r="A49" s="5"/>
      <c r="B49" s="8" t="s">
        <v>61</v>
      </c>
      <c r="C49" s="8">
        <v>2008.69</v>
      </c>
      <c r="D49" s="8">
        <v>311.12</v>
      </c>
      <c r="E49" s="8">
        <v>6224.31</v>
      </c>
      <c r="F49" s="8">
        <v>5489.380000000001</v>
      </c>
      <c r="G49" s="32">
        <v>14033.500000000002</v>
      </c>
      <c r="H49" s="37" t="s">
        <v>151</v>
      </c>
    </row>
    <row r="50" spans="1:9" x14ac:dyDescent="0.25">
      <c r="A50" s="5"/>
      <c r="B50" s="8" t="s">
        <v>62</v>
      </c>
      <c r="C50" s="8">
        <v>1482.63</v>
      </c>
      <c r="D50" s="8">
        <v>1984.44</v>
      </c>
      <c r="E50" s="8">
        <v>10409.39</v>
      </c>
      <c r="F50" s="8">
        <v>2825.75</v>
      </c>
      <c r="G50" s="32">
        <v>16702.21</v>
      </c>
      <c r="H50" s="37" t="s">
        <v>151</v>
      </c>
    </row>
    <row r="51" spans="1:9" x14ac:dyDescent="0.25">
      <c r="A51" s="5"/>
      <c r="B51" s="8" t="s">
        <v>63</v>
      </c>
      <c r="C51" s="8">
        <v>1321.73</v>
      </c>
      <c r="D51" s="8">
        <v>656.52</v>
      </c>
      <c r="E51" s="8">
        <v>7590.9500000000007</v>
      </c>
      <c r="F51" s="8">
        <v>7132.19</v>
      </c>
      <c r="G51" s="32">
        <v>16701.39</v>
      </c>
      <c r="H51" s="37" t="s">
        <v>151</v>
      </c>
    </row>
    <row r="52" spans="1:9" x14ac:dyDescent="0.25">
      <c r="A52" s="5"/>
      <c r="B52" s="8" t="s">
        <v>64</v>
      </c>
      <c r="C52" s="8">
        <v>4510.66</v>
      </c>
      <c r="D52" s="8">
        <v>795.99</v>
      </c>
      <c r="E52" s="8">
        <v>8848.8499999999985</v>
      </c>
      <c r="F52" s="8">
        <v>3111.16</v>
      </c>
      <c r="G52" s="32">
        <v>17266.659999999996</v>
      </c>
      <c r="H52" s="37" t="s">
        <v>151</v>
      </c>
    </row>
    <row r="53" spans="1:9" x14ac:dyDescent="0.25">
      <c r="A53" s="5"/>
      <c r="B53" s="8" t="s">
        <v>65</v>
      </c>
      <c r="C53" s="8">
        <v>2973.91</v>
      </c>
      <c r="D53" s="8">
        <v>921.74</v>
      </c>
      <c r="E53" s="8">
        <v>6798.5400000000009</v>
      </c>
      <c r="F53" s="8">
        <v>3673.69</v>
      </c>
      <c r="G53" s="32">
        <v>14367.880000000001</v>
      </c>
      <c r="H53" s="37" t="s">
        <v>151</v>
      </c>
    </row>
    <row r="54" spans="1:9" x14ac:dyDescent="0.25">
      <c r="A54" s="5"/>
      <c r="B54" s="8" t="s">
        <v>66</v>
      </c>
      <c r="C54" s="8">
        <v>7517.79</v>
      </c>
      <c r="D54" s="8">
        <v>1455.48</v>
      </c>
      <c r="E54" s="8">
        <v>7612.6699999999992</v>
      </c>
      <c r="F54" s="8">
        <v>5709.26</v>
      </c>
      <c r="G54" s="32">
        <v>22295.199999999997</v>
      </c>
      <c r="H54" s="37" t="s">
        <v>151</v>
      </c>
    </row>
    <row r="55" spans="1:9" x14ac:dyDescent="0.25">
      <c r="A55" s="5"/>
      <c r="B55" s="8" t="s">
        <v>67</v>
      </c>
      <c r="C55" s="8">
        <v>3647</v>
      </c>
      <c r="D55" s="37" t="s">
        <v>152</v>
      </c>
      <c r="E55" s="8">
        <v>5330.13</v>
      </c>
      <c r="F55" s="8">
        <v>6473</v>
      </c>
      <c r="G55" s="32">
        <v>17193</v>
      </c>
      <c r="H55" s="36">
        <v>14093.54</v>
      </c>
    </row>
    <row r="56" spans="1:9" x14ac:dyDescent="0.25">
      <c r="A56" s="5"/>
      <c r="B56" s="8" t="s">
        <v>68</v>
      </c>
      <c r="C56" s="8">
        <v>7517.79</v>
      </c>
      <c r="D56" s="35" t="s">
        <v>151</v>
      </c>
      <c r="E56" s="8">
        <v>7735.2599999999993</v>
      </c>
      <c r="F56" s="8">
        <v>1980.33</v>
      </c>
      <c r="G56" s="32">
        <v>17233.379999999997</v>
      </c>
      <c r="H56" s="37" t="s">
        <v>151</v>
      </c>
    </row>
    <row r="57" spans="1:9" ht="15.75" thickBot="1" x14ac:dyDescent="0.3">
      <c r="A57" s="5"/>
      <c r="B57" s="8" t="s">
        <v>69</v>
      </c>
      <c r="C57" s="8">
        <v>7517.79</v>
      </c>
      <c r="D57" s="8">
        <v>476.22</v>
      </c>
      <c r="E57" s="8">
        <v>4484.41</v>
      </c>
      <c r="F57" s="8">
        <v>4999.59</v>
      </c>
      <c r="G57" s="32">
        <v>17478.010000000002</v>
      </c>
      <c r="H57" s="37" t="s">
        <v>151</v>
      </c>
    </row>
    <row r="58" spans="1:9" ht="15.75" thickBot="1" x14ac:dyDescent="0.3">
      <c r="A58" s="9" t="s">
        <v>14</v>
      </c>
      <c r="B58" s="18"/>
      <c r="C58" s="15">
        <v>128544</v>
      </c>
      <c r="D58" s="15">
        <v>39020</v>
      </c>
      <c r="E58" s="15">
        <v>249268.14000000007</v>
      </c>
      <c r="F58" s="15">
        <v>185005</v>
      </c>
      <c r="G58" s="15">
        <v>601837</v>
      </c>
      <c r="H58" s="39">
        <v>29817</v>
      </c>
    </row>
    <row r="59" spans="1:9" x14ac:dyDescent="0.25">
      <c r="A59" s="5"/>
      <c r="B59" s="19"/>
      <c r="C59" s="13"/>
      <c r="D59" s="13"/>
      <c r="E59" s="13"/>
      <c r="F59" s="13"/>
      <c r="G59" s="32"/>
      <c r="H59" s="36"/>
    </row>
    <row r="60" spans="1:9" x14ac:dyDescent="0.25">
      <c r="A60" s="5" t="s">
        <v>15</v>
      </c>
      <c r="B60" s="8" t="s">
        <v>70</v>
      </c>
      <c r="C60" s="13">
        <v>0</v>
      </c>
      <c r="D60" s="13">
        <v>0</v>
      </c>
      <c r="E60" s="13">
        <v>284.70999999999998</v>
      </c>
      <c r="F60" s="13">
        <v>0</v>
      </c>
      <c r="G60" s="32">
        <v>284.70999999999998</v>
      </c>
      <c r="H60" s="37" t="s">
        <v>151</v>
      </c>
      <c r="I60" s="1"/>
    </row>
    <row r="61" spans="1:9" ht="15.75" thickBot="1" x14ac:dyDescent="0.3">
      <c r="A61" s="5"/>
      <c r="B61" s="8" t="s">
        <v>71</v>
      </c>
      <c r="C61" s="13">
        <v>5262.46</v>
      </c>
      <c r="D61" s="13">
        <v>4827.78</v>
      </c>
      <c r="E61" s="13">
        <v>13570.960000000001</v>
      </c>
      <c r="F61" s="13">
        <v>9997.89</v>
      </c>
      <c r="G61" s="32">
        <v>33659.089999999997</v>
      </c>
      <c r="H61" s="37" t="s">
        <v>151</v>
      </c>
    </row>
    <row r="62" spans="1:9" s="1" customFormat="1" ht="15.75" thickBot="1" x14ac:dyDescent="0.3">
      <c r="A62" s="9" t="s">
        <v>16</v>
      </c>
      <c r="B62" s="20"/>
      <c r="C62" s="15">
        <v>5262.46</v>
      </c>
      <c r="D62" s="15">
        <v>4827.78</v>
      </c>
      <c r="E62" s="15">
        <v>13855.67</v>
      </c>
      <c r="F62" s="15">
        <v>9997.89</v>
      </c>
      <c r="G62" s="15">
        <v>33943.799999999996</v>
      </c>
      <c r="H62" s="39" t="s">
        <v>151</v>
      </c>
      <c r="I62"/>
    </row>
    <row r="63" spans="1:9" s="1" customFormat="1" x14ac:dyDescent="0.25">
      <c r="A63" s="5"/>
      <c r="B63" s="21"/>
      <c r="C63" s="13"/>
      <c r="D63" s="13"/>
      <c r="E63" s="13"/>
      <c r="F63" s="13"/>
      <c r="G63" s="32"/>
      <c r="H63" s="36"/>
      <c r="I63"/>
    </row>
    <row r="64" spans="1:9" s="1" customFormat="1" x14ac:dyDescent="0.25">
      <c r="A64" s="5" t="s">
        <v>17</v>
      </c>
      <c r="B64" s="8" t="s">
        <v>72</v>
      </c>
      <c r="C64" s="13">
        <v>0</v>
      </c>
      <c r="D64" s="13">
        <v>0</v>
      </c>
      <c r="E64" s="13">
        <v>388.92</v>
      </c>
      <c r="F64" s="13">
        <v>0</v>
      </c>
      <c r="G64" s="32">
        <v>388.92</v>
      </c>
      <c r="H64" s="37" t="s">
        <v>151</v>
      </c>
      <c r="I64"/>
    </row>
    <row r="65" spans="1:9" s="1" customFormat="1" x14ac:dyDescent="0.25">
      <c r="A65" s="5"/>
      <c r="B65" s="8" t="s">
        <v>73</v>
      </c>
      <c r="C65" s="13">
        <v>7517.79</v>
      </c>
      <c r="D65" s="13">
        <v>0</v>
      </c>
      <c r="E65" s="13">
        <v>9233.7899999999991</v>
      </c>
      <c r="F65" s="13">
        <v>7068.59</v>
      </c>
      <c r="G65" s="32">
        <v>23820.17</v>
      </c>
      <c r="H65" s="37" t="s">
        <v>151</v>
      </c>
      <c r="I65"/>
    </row>
    <row r="66" spans="1:9" s="1" customFormat="1" x14ac:dyDescent="0.25">
      <c r="A66" s="5"/>
      <c r="B66" s="8" t="s">
        <v>74</v>
      </c>
      <c r="C66" s="13">
        <v>7517.79</v>
      </c>
      <c r="D66" s="13">
        <v>2051.98</v>
      </c>
      <c r="E66" s="13">
        <v>9453.5099999999984</v>
      </c>
      <c r="F66" s="13">
        <v>8962.2199999999993</v>
      </c>
      <c r="G66" s="32">
        <v>27985.5</v>
      </c>
      <c r="H66" s="37" t="s">
        <v>151</v>
      </c>
      <c r="I66"/>
    </row>
    <row r="67" spans="1:9" s="1" customFormat="1" x14ac:dyDescent="0.25">
      <c r="A67" s="5"/>
      <c r="B67" s="8" t="s">
        <v>75</v>
      </c>
      <c r="C67" s="13">
        <v>0</v>
      </c>
      <c r="D67" s="13">
        <v>0</v>
      </c>
      <c r="E67" s="13">
        <v>908.98</v>
      </c>
      <c r="F67" s="13">
        <v>0</v>
      </c>
      <c r="G67" s="32">
        <v>908.98</v>
      </c>
      <c r="H67" s="37" t="s">
        <v>151</v>
      </c>
      <c r="I67"/>
    </row>
    <row r="68" spans="1:9" s="1" customFormat="1" x14ac:dyDescent="0.25">
      <c r="A68" s="5"/>
      <c r="B68" s="8" t="s">
        <v>76</v>
      </c>
      <c r="C68" s="13">
        <v>7517.79</v>
      </c>
      <c r="D68" s="13">
        <v>479.03999999999996</v>
      </c>
      <c r="E68" s="13">
        <v>6897.15</v>
      </c>
      <c r="F68" s="13">
        <v>6720.09</v>
      </c>
      <c r="G68" s="32">
        <v>21614.07</v>
      </c>
      <c r="H68" s="37" t="s">
        <v>151</v>
      </c>
      <c r="I68"/>
    </row>
    <row r="69" spans="1:9" s="1" customFormat="1" x14ac:dyDescent="0.25">
      <c r="A69" s="5"/>
      <c r="B69" s="8" t="s">
        <v>77</v>
      </c>
      <c r="C69" s="13">
        <v>2313.02</v>
      </c>
      <c r="D69" s="13">
        <v>162.38999999999999</v>
      </c>
      <c r="E69" s="13">
        <v>3180.3500000000004</v>
      </c>
      <c r="F69" s="13">
        <v>2841.7</v>
      </c>
      <c r="G69" s="32">
        <v>8497.4599999999991</v>
      </c>
      <c r="H69" s="37" t="s">
        <v>151</v>
      </c>
      <c r="I69"/>
    </row>
    <row r="70" spans="1:9" s="1" customFormat="1" x14ac:dyDescent="0.25">
      <c r="A70" s="5"/>
      <c r="B70" s="8" t="s">
        <v>78</v>
      </c>
      <c r="C70" s="13">
        <v>0</v>
      </c>
      <c r="D70" s="13">
        <v>0</v>
      </c>
      <c r="E70" s="13">
        <v>0</v>
      </c>
      <c r="F70" s="13">
        <v>0</v>
      </c>
      <c r="G70" s="32">
        <v>0</v>
      </c>
      <c r="H70" s="37" t="s">
        <v>151</v>
      </c>
      <c r="I70"/>
    </row>
    <row r="71" spans="1:9" s="1" customFormat="1" x14ac:dyDescent="0.25">
      <c r="A71" s="5"/>
      <c r="B71" s="8" t="s">
        <v>79</v>
      </c>
      <c r="C71" s="13">
        <v>0</v>
      </c>
      <c r="D71" s="13">
        <v>169.57</v>
      </c>
      <c r="E71" s="13">
        <v>3193.4</v>
      </c>
      <c r="F71" s="13">
        <v>5328.09</v>
      </c>
      <c r="G71" s="32">
        <v>8691.0600000000013</v>
      </c>
      <c r="H71" s="37" t="s">
        <v>151</v>
      </c>
      <c r="I71"/>
    </row>
    <row r="72" spans="1:9" s="1" customFormat="1" x14ac:dyDescent="0.25">
      <c r="A72" s="5"/>
      <c r="B72" s="8" t="s">
        <v>80</v>
      </c>
      <c r="C72" s="13">
        <v>11008.2</v>
      </c>
      <c r="D72" s="13">
        <v>433.69</v>
      </c>
      <c r="E72" s="13">
        <v>5874.8</v>
      </c>
      <c r="F72" s="13">
        <v>5619.7000000000007</v>
      </c>
      <c r="G72" s="32">
        <v>22936.390000000003</v>
      </c>
      <c r="H72" s="37" t="s">
        <v>151</v>
      </c>
      <c r="I72"/>
    </row>
    <row r="73" spans="1:9" s="1" customFormat="1" x14ac:dyDescent="0.25">
      <c r="A73" s="5"/>
      <c r="B73" s="8" t="s">
        <v>81</v>
      </c>
      <c r="C73" s="13">
        <v>0</v>
      </c>
      <c r="D73" s="13">
        <v>0</v>
      </c>
      <c r="E73" s="13">
        <v>0</v>
      </c>
      <c r="F73" s="13">
        <v>0</v>
      </c>
      <c r="G73" s="32">
        <v>0</v>
      </c>
      <c r="H73" s="37" t="s">
        <v>151</v>
      </c>
      <c r="I73"/>
    </row>
    <row r="74" spans="1:9" s="1" customFormat="1" x14ac:dyDescent="0.25">
      <c r="A74" s="5"/>
      <c r="B74" s="8" t="s">
        <v>82</v>
      </c>
      <c r="C74" s="13">
        <v>0</v>
      </c>
      <c r="D74" s="13">
        <v>0</v>
      </c>
      <c r="E74" s="13">
        <v>2835.04</v>
      </c>
      <c r="F74" s="13">
        <v>0</v>
      </c>
      <c r="G74" s="32">
        <v>2835.04</v>
      </c>
      <c r="H74" s="37" t="s">
        <v>151</v>
      </c>
      <c r="I74"/>
    </row>
    <row r="75" spans="1:9" s="1" customFormat="1" x14ac:dyDescent="0.25">
      <c r="A75" s="5"/>
      <c r="B75" s="8" t="s">
        <v>83</v>
      </c>
      <c r="C75" s="13">
        <v>11008.2</v>
      </c>
      <c r="D75" s="13">
        <v>0</v>
      </c>
      <c r="E75" s="13">
        <v>10112.24</v>
      </c>
      <c r="F75" s="13">
        <v>38.659999999999997</v>
      </c>
      <c r="G75" s="32">
        <v>21159.100000000002</v>
      </c>
      <c r="H75" s="36">
        <v>2001.79</v>
      </c>
      <c r="I75"/>
    </row>
    <row r="76" spans="1:9" s="1" customFormat="1" x14ac:dyDescent="0.25">
      <c r="A76" s="5"/>
      <c r="B76" s="8" t="s">
        <v>84</v>
      </c>
      <c r="C76" s="13">
        <v>0</v>
      </c>
      <c r="D76" s="13">
        <v>0</v>
      </c>
      <c r="E76" s="13">
        <v>422.65</v>
      </c>
      <c r="F76" s="13">
        <v>0</v>
      </c>
      <c r="G76" s="32">
        <v>422.65</v>
      </c>
      <c r="H76" s="37" t="s">
        <v>151</v>
      </c>
      <c r="I76"/>
    </row>
    <row r="77" spans="1:9" s="1" customFormat="1" x14ac:dyDescent="0.25">
      <c r="A77" s="5"/>
      <c r="B77" s="8" t="s">
        <v>85</v>
      </c>
      <c r="C77" s="13">
        <v>6443.82</v>
      </c>
      <c r="D77" s="13">
        <v>165.22</v>
      </c>
      <c r="E77" s="13">
        <v>3814.6499999999996</v>
      </c>
      <c r="F77" s="13">
        <v>784.19999999999993</v>
      </c>
      <c r="G77" s="32">
        <v>11207.89</v>
      </c>
      <c r="H77" s="37" t="s">
        <v>151</v>
      </c>
      <c r="I77"/>
    </row>
    <row r="78" spans="1:9" s="1" customFormat="1" x14ac:dyDescent="0.25">
      <c r="A78" s="5"/>
      <c r="B78" s="8" t="s">
        <v>86</v>
      </c>
      <c r="C78" s="13">
        <v>7517.79</v>
      </c>
      <c r="D78" s="13">
        <v>1270</v>
      </c>
      <c r="E78" s="13">
        <v>12222.97</v>
      </c>
      <c r="F78" s="13">
        <v>12778.84</v>
      </c>
      <c r="G78" s="32">
        <v>33789.600000000006</v>
      </c>
      <c r="H78" s="37" t="s">
        <v>151</v>
      </c>
      <c r="I78"/>
    </row>
    <row r="79" spans="1:9" s="1" customFormat="1" x14ac:dyDescent="0.25">
      <c r="A79" s="5"/>
      <c r="B79" s="8" t="s">
        <v>87</v>
      </c>
      <c r="C79" s="13">
        <v>2147.81</v>
      </c>
      <c r="D79" s="13">
        <v>609.29999999999995</v>
      </c>
      <c r="E79" s="13">
        <v>4472.9299999999994</v>
      </c>
      <c r="F79" s="13">
        <v>7531.02</v>
      </c>
      <c r="G79" s="32">
        <v>14761.06</v>
      </c>
      <c r="H79" s="37" t="s">
        <v>151</v>
      </c>
      <c r="I79"/>
    </row>
    <row r="80" spans="1:9" s="1" customFormat="1" x14ac:dyDescent="0.25">
      <c r="A80" s="5"/>
      <c r="B80" s="8" t="s">
        <v>88</v>
      </c>
      <c r="C80" s="13">
        <v>5262.46</v>
      </c>
      <c r="D80" s="13">
        <v>349.92</v>
      </c>
      <c r="E80" s="13">
        <v>10756.470000000001</v>
      </c>
      <c r="F80" s="13">
        <v>5002.26</v>
      </c>
      <c r="G80" s="32">
        <v>21371.11</v>
      </c>
      <c r="H80" s="37" t="s">
        <v>151</v>
      </c>
      <c r="I80"/>
    </row>
    <row r="81" spans="1:9" s="1" customFormat="1" x14ac:dyDescent="0.25">
      <c r="A81" s="5"/>
      <c r="B81" s="8" t="s">
        <v>89</v>
      </c>
      <c r="C81" s="13">
        <v>0</v>
      </c>
      <c r="D81" s="13">
        <v>0</v>
      </c>
      <c r="E81" s="13">
        <v>1445.1000000000001</v>
      </c>
      <c r="F81" s="13">
        <v>0</v>
      </c>
      <c r="G81" s="32">
        <v>1445.1000000000001</v>
      </c>
      <c r="H81" s="37" t="s">
        <v>151</v>
      </c>
      <c r="I81"/>
    </row>
    <row r="82" spans="1:9" s="1" customFormat="1" x14ac:dyDescent="0.25">
      <c r="A82" s="5"/>
      <c r="B82" s="8" t="s">
        <v>90</v>
      </c>
      <c r="C82" s="13">
        <v>0</v>
      </c>
      <c r="D82" s="13">
        <v>0</v>
      </c>
      <c r="E82" s="13">
        <v>0</v>
      </c>
      <c r="F82" s="13">
        <v>0</v>
      </c>
      <c r="G82" s="32">
        <v>0</v>
      </c>
      <c r="H82" s="37" t="s">
        <v>151</v>
      </c>
      <c r="I82"/>
    </row>
    <row r="83" spans="1:9" s="1" customFormat="1" x14ac:dyDescent="0.25">
      <c r="A83" s="5"/>
      <c r="B83" s="8" t="s">
        <v>91</v>
      </c>
      <c r="C83" s="13">
        <v>0</v>
      </c>
      <c r="D83" s="13">
        <v>0</v>
      </c>
      <c r="E83" s="13">
        <v>395.86</v>
      </c>
      <c r="F83" s="13">
        <v>0</v>
      </c>
      <c r="G83" s="32">
        <v>395.86</v>
      </c>
      <c r="H83" s="37" t="s">
        <v>151</v>
      </c>
      <c r="I83"/>
    </row>
    <row r="84" spans="1:9" s="1" customFormat="1" x14ac:dyDescent="0.25">
      <c r="A84" s="5"/>
      <c r="B84" s="8" t="s">
        <v>92</v>
      </c>
      <c r="C84" s="13">
        <v>0</v>
      </c>
      <c r="D84" s="13">
        <v>3590.3</v>
      </c>
      <c r="E84" s="13">
        <v>8512.7599999999984</v>
      </c>
      <c r="F84" s="13">
        <v>7318.0599999999995</v>
      </c>
      <c r="G84" s="32">
        <v>19421.119999999995</v>
      </c>
      <c r="H84" s="37" t="s">
        <v>151</v>
      </c>
      <c r="I84"/>
    </row>
    <row r="85" spans="1:9" s="1" customFormat="1" x14ac:dyDescent="0.25">
      <c r="A85" s="5"/>
      <c r="B85" s="8" t="s">
        <v>93</v>
      </c>
      <c r="C85" s="13">
        <v>0</v>
      </c>
      <c r="D85" s="13">
        <v>0</v>
      </c>
      <c r="E85" s="13">
        <v>511.22</v>
      </c>
      <c r="F85" s="13">
        <v>0</v>
      </c>
      <c r="G85" s="32">
        <v>511.22</v>
      </c>
      <c r="H85" s="37" t="s">
        <v>151</v>
      </c>
      <c r="I85"/>
    </row>
    <row r="86" spans="1:9" s="1" customFormat="1" x14ac:dyDescent="0.25">
      <c r="A86" s="5"/>
      <c r="B86" s="8" t="s">
        <v>94</v>
      </c>
      <c r="C86" s="13">
        <v>0</v>
      </c>
      <c r="D86" s="13">
        <v>0</v>
      </c>
      <c r="E86" s="13">
        <v>721.45</v>
      </c>
      <c r="F86" s="13">
        <v>0</v>
      </c>
      <c r="G86" s="32">
        <v>721.45</v>
      </c>
      <c r="H86" s="37" t="s">
        <v>151</v>
      </c>
      <c r="I86"/>
    </row>
    <row r="87" spans="1:9" s="1" customFormat="1" x14ac:dyDescent="0.25">
      <c r="A87" s="5"/>
      <c r="B87" s="8" t="s">
        <v>95</v>
      </c>
      <c r="C87" s="13">
        <v>0</v>
      </c>
      <c r="D87" s="13">
        <v>0</v>
      </c>
      <c r="E87" s="13">
        <v>0</v>
      </c>
      <c r="F87" s="13">
        <v>0</v>
      </c>
      <c r="G87" s="32">
        <v>0</v>
      </c>
      <c r="H87" s="37" t="s">
        <v>151</v>
      </c>
      <c r="I87"/>
    </row>
    <row r="88" spans="1:9" s="1" customFormat="1" x14ac:dyDescent="0.25">
      <c r="A88" s="5"/>
      <c r="B88" s="8" t="s">
        <v>96</v>
      </c>
      <c r="C88" s="13">
        <v>0</v>
      </c>
      <c r="D88" s="13">
        <v>0</v>
      </c>
      <c r="E88" s="13">
        <v>0</v>
      </c>
      <c r="F88" s="13">
        <v>0</v>
      </c>
      <c r="G88" s="32">
        <v>0</v>
      </c>
      <c r="H88" s="37" t="s">
        <v>151</v>
      </c>
      <c r="I88"/>
    </row>
    <row r="89" spans="1:9" s="1" customFormat="1" x14ac:dyDescent="0.25">
      <c r="A89" s="5"/>
      <c r="B89" s="8" t="s">
        <v>97</v>
      </c>
      <c r="C89" s="13">
        <v>7517.79</v>
      </c>
      <c r="D89" s="13">
        <v>1021.96</v>
      </c>
      <c r="E89" s="13">
        <v>10802.470000000001</v>
      </c>
      <c r="F89" s="13">
        <v>6849.34</v>
      </c>
      <c r="G89" s="32">
        <v>26191.56</v>
      </c>
      <c r="H89" s="37" t="s">
        <v>151</v>
      </c>
      <c r="I89"/>
    </row>
    <row r="90" spans="1:9" s="1" customFormat="1" x14ac:dyDescent="0.25">
      <c r="A90" s="5"/>
      <c r="B90" s="8" t="s">
        <v>98</v>
      </c>
      <c r="C90" s="13">
        <v>0</v>
      </c>
      <c r="D90" s="13">
        <v>0</v>
      </c>
      <c r="E90" s="13">
        <v>2064</v>
      </c>
      <c r="F90" s="13">
        <v>1650.29</v>
      </c>
      <c r="G90" s="32">
        <v>3714.29</v>
      </c>
      <c r="H90" s="36">
        <v>14130.24</v>
      </c>
      <c r="I90"/>
    </row>
    <row r="91" spans="1:9" s="1" customFormat="1" x14ac:dyDescent="0.25">
      <c r="A91" s="5"/>
      <c r="B91" s="8" t="s">
        <v>99</v>
      </c>
      <c r="C91" s="13">
        <v>0</v>
      </c>
      <c r="D91" s="13">
        <v>0</v>
      </c>
      <c r="E91" s="13">
        <v>0</v>
      </c>
      <c r="F91" s="13">
        <v>0</v>
      </c>
      <c r="G91" s="32">
        <v>0</v>
      </c>
      <c r="H91" s="37" t="s">
        <v>151</v>
      </c>
      <c r="I91"/>
    </row>
    <row r="92" spans="1:9" s="1" customFormat="1" x14ac:dyDescent="0.25">
      <c r="A92" s="5"/>
      <c r="B92" s="8" t="s">
        <v>100</v>
      </c>
      <c r="C92" s="13">
        <v>0</v>
      </c>
      <c r="D92" s="13">
        <v>0</v>
      </c>
      <c r="E92" s="13">
        <v>0</v>
      </c>
      <c r="F92" s="13">
        <v>0</v>
      </c>
      <c r="G92" s="32">
        <v>0</v>
      </c>
      <c r="H92" s="37" t="s">
        <v>151</v>
      </c>
      <c r="I92"/>
    </row>
    <row r="93" spans="1:9" s="1" customFormat="1" x14ac:dyDescent="0.25">
      <c r="A93" s="5"/>
      <c r="B93" s="8" t="s">
        <v>101</v>
      </c>
      <c r="C93" s="13">
        <v>0</v>
      </c>
      <c r="D93" s="13">
        <v>0</v>
      </c>
      <c r="E93" s="13">
        <v>1181.1300000000001</v>
      </c>
      <c r="F93" s="13">
        <v>0</v>
      </c>
      <c r="G93" s="32">
        <v>1181.1300000000001</v>
      </c>
      <c r="H93" s="37" t="s">
        <v>151</v>
      </c>
      <c r="I93"/>
    </row>
    <row r="94" spans="1:9" s="1" customFormat="1" x14ac:dyDescent="0.25">
      <c r="A94" s="5"/>
      <c r="B94" s="8" t="s">
        <v>145</v>
      </c>
      <c r="C94" s="13">
        <v>26619.17</v>
      </c>
      <c r="D94" s="13">
        <v>0</v>
      </c>
      <c r="E94" s="13">
        <v>9496.61</v>
      </c>
      <c r="F94" s="13">
        <v>2970.05</v>
      </c>
      <c r="G94" s="32">
        <v>39085.83</v>
      </c>
      <c r="H94" s="37" t="s">
        <v>151</v>
      </c>
      <c r="I94"/>
    </row>
    <row r="95" spans="1:9" s="1" customFormat="1" x14ac:dyDescent="0.25">
      <c r="A95" s="5"/>
      <c r="B95" s="8" t="s">
        <v>102</v>
      </c>
      <c r="C95" s="13">
        <v>5262.46</v>
      </c>
      <c r="D95" s="13">
        <v>1046.7800000000002</v>
      </c>
      <c r="E95" s="13">
        <v>6818.96</v>
      </c>
      <c r="F95" s="13">
        <v>4359.1400000000003</v>
      </c>
      <c r="G95" s="32">
        <v>17487.34</v>
      </c>
      <c r="H95" s="36">
        <v>13060.74</v>
      </c>
      <c r="I95"/>
    </row>
    <row r="96" spans="1:9" s="1" customFormat="1" x14ac:dyDescent="0.25">
      <c r="A96" s="5"/>
      <c r="B96" s="8" t="s">
        <v>103</v>
      </c>
      <c r="C96" s="13">
        <v>7517.79</v>
      </c>
      <c r="D96" s="13">
        <v>393.87</v>
      </c>
      <c r="E96" s="13">
        <v>10997.91</v>
      </c>
      <c r="F96" s="13">
        <v>5862.97</v>
      </c>
      <c r="G96" s="32">
        <v>24772.54</v>
      </c>
      <c r="H96" s="37" t="s">
        <v>151</v>
      </c>
      <c r="I96"/>
    </row>
    <row r="97" spans="1:9" s="1" customFormat="1" x14ac:dyDescent="0.25">
      <c r="A97" s="5"/>
      <c r="B97" s="8" t="s">
        <v>104</v>
      </c>
      <c r="C97" s="13">
        <v>0</v>
      </c>
      <c r="D97" s="13">
        <v>0</v>
      </c>
      <c r="E97" s="13">
        <v>901.74</v>
      </c>
      <c r="F97" s="13">
        <v>157.91</v>
      </c>
      <c r="G97" s="32">
        <v>1059.6500000000001</v>
      </c>
      <c r="H97" s="37" t="s">
        <v>151</v>
      </c>
      <c r="I97"/>
    </row>
    <row r="98" spans="1:9" s="1" customFormat="1" x14ac:dyDescent="0.25">
      <c r="A98" s="5"/>
      <c r="B98" s="8" t="s">
        <v>105</v>
      </c>
      <c r="C98" s="13">
        <v>2643.4700000000003</v>
      </c>
      <c r="D98" s="13">
        <v>991.3</v>
      </c>
      <c r="E98" s="13">
        <v>3909.32</v>
      </c>
      <c r="F98" s="13">
        <v>1879.54</v>
      </c>
      <c r="G98" s="32">
        <v>9423.630000000001</v>
      </c>
      <c r="H98" s="37" t="s">
        <v>151</v>
      </c>
      <c r="I98"/>
    </row>
    <row r="99" spans="1:9" s="1" customFormat="1" x14ac:dyDescent="0.25">
      <c r="A99" s="5"/>
      <c r="B99" s="8" t="s">
        <v>106</v>
      </c>
      <c r="C99" s="13">
        <v>0</v>
      </c>
      <c r="D99" s="13">
        <v>0</v>
      </c>
      <c r="E99" s="13">
        <v>1184.57</v>
      </c>
      <c r="F99" s="13">
        <v>0</v>
      </c>
      <c r="G99" s="32">
        <v>1184.57</v>
      </c>
      <c r="H99" s="37" t="s">
        <v>151</v>
      </c>
      <c r="I99"/>
    </row>
    <row r="100" spans="1:9" s="1" customFormat="1" x14ac:dyDescent="0.25">
      <c r="A100" s="5"/>
      <c r="B100" s="8" t="s">
        <v>107</v>
      </c>
      <c r="C100" s="13">
        <v>0</v>
      </c>
      <c r="D100" s="13">
        <v>0</v>
      </c>
      <c r="E100" s="13">
        <v>0</v>
      </c>
      <c r="F100" s="13">
        <v>0</v>
      </c>
      <c r="G100" s="32">
        <v>0</v>
      </c>
      <c r="H100" s="37" t="s">
        <v>151</v>
      </c>
      <c r="I100"/>
    </row>
    <row r="101" spans="1:9" s="1" customFormat="1" x14ac:dyDescent="0.25">
      <c r="A101" s="5"/>
      <c r="B101" s="8" t="s">
        <v>108</v>
      </c>
      <c r="C101" s="13">
        <v>7517.79</v>
      </c>
      <c r="D101" s="13">
        <v>448.69</v>
      </c>
      <c r="E101" s="13">
        <v>2820.78</v>
      </c>
      <c r="F101" s="13">
        <v>7095.09</v>
      </c>
      <c r="G101" s="32">
        <v>17882.349999999999</v>
      </c>
      <c r="H101" s="37" t="s">
        <v>151</v>
      </c>
      <c r="I101"/>
    </row>
    <row r="102" spans="1:9" s="1" customFormat="1" x14ac:dyDescent="0.25">
      <c r="A102" s="5"/>
      <c r="B102" s="8" t="s">
        <v>109</v>
      </c>
      <c r="C102" s="13">
        <v>7517.79</v>
      </c>
      <c r="D102" s="13">
        <v>128.61000000000001</v>
      </c>
      <c r="E102" s="13">
        <v>6425.24</v>
      </c>
      <c r="F102" s="13">
        <v>5993.41</v>
      </c>
      <c r="G102" s="32">
        <v>20065.05</v>
      </c>
      <c r="H102" s="37" t="s">
        <v>151</v>
      </c>
      <c r="I102"/>
    </row>
    <row r="103" spans="1:9" s="1" customFormat="1" x14ac:dyDescent="0.25">
      <c r="A103" s="5"/>
      <c r="B103" s="8" t="s">
        <v>110</v>
      </c>
      <c r="C103" s="13">
        <v>6528.21</v>
      </c>
      <c r="D103" s="13">
        <v>1015.65</v>
      </c>
      <c r="E103" s="13">
        <v>7387.3099999999995</v>
      </c>
      <c r="F103" s="13">
        <v>4459.91</v>
      </c>
      <c r="G103" s="32">
        <v>19391.079999999998</v>
      </c>
      <c r="H103" s="37" t="s">
        <v>151</v>
      </c>
      <c r="I103"/>
    </row>
    <row r="104" spans="1:9" s="1" customFormat="1" x14ac:dyDescent="0.25">
      <c r="A104" s="5"/>
      <c r="B104" s="8" t="s">
        <v>111</v>
      </c>
      <c r="C104" s="13">
        <v>7517.79</v>
      </c>
      <c r="D104" s="13">
        <v>502.21000000000004</v>
      </c>
      <c r="E104" s="13">
        <v>3500.44</v>
      </c>
      <c r="F104" s="13">
        <v>1826.03</v>
      </c>
      <c r="G104" s="32">
        <v>13346.470000000001</v>
      </c>
      <c r="H104" s="37" t="s">
        <v>151</v>
      </c>
      <c r="I104"/>
    </row>
    <row r="105" spans="1:9" s="1" customFormat="1" x14ac:dyDescent="0.25">
      <c r="A105" s="5"/>
      <c r="B105" s="8" t="s">
        <v>112</v>
      </c>
      <c r="C105" s="13">
        <v>7517.79</v>
      </c>
      <c r="D105" s="13">
        <v>0</v>
      </c>
      <c r="E105" s="13">
        <v>5415.18</v>
      </c>
      <c r="F105" s="13">
        <v>5711.79</v>
      </c>
      <c r="G105" s="32">
        <v>18644.760000000002</v>
      </c>
      <c r="H105" s="37" t="s">
        <v>151</v>
      </c>
      <c r="I105"/>
    </row>
    <row r="106" spans="1:9" s="1" customFormat="1" x14ac:dyDescent="0.25">
      <c r="A106" s="5"/>
      <c r="B106" s="8" t="s">
        <v>113</v>
      </c>
      <c r="C106" s="13">
        <v>7517.79</v>
      </c>
      <c r="D106" s="13">
        <v>0</v>
      </c>
      <c r="E106" s="13">
        <v>5204.1200000000008</v>
      </c>
      <c r="F106" s="13">
        <v>5232.2299999999996</v>
      </c>
      <c r="G106" s="32">
        <v>17954.14</v>
      </c>
      <c r="H106" s="37" t="s">
        <v>151</v>
      </c>
      <c r="I106"/>
    </row>
    <row r="107" spans="1:9" s="1" customFormat="1" x14ac:dyDescent="0.25">
      <c r="A107" s="5"/>
      <c r="B107" s="8" t="s">
        <v>114</v>
      </c>
      <c r="C107" s="13">
        <v>0</v>
      </c>
      <c r="D107" s="13">
        <v>0</v>
      </c>
      <c r="E107" s="13">
        <v>757.98</v>
      </c>
      <c r="F107" s="13">
        <v>0</v>
      </c>
      <c r="G107" s="32">
        <v>757.98</v>
      </c>
      <c r="H107" s="37" t="s">
        <v>151</v>
      </c>
      <c r="I107"/>
    </row>
    <row r="108" spans="1:9" s="1" customFormat="1" x14ac:dyDescent="0.25">
      <c r="A108" s="5"/>
      <c r="B108" s="8" t="s">
        <v>115</v>
      </c>
      <c r="C108" s="13">
        <v>7517.79</v>
      </c>
      <c r="D108" s="13">
        <v>0</v>
      </c>
      <c r="E108" s="13">
        <v>6884.63</v>
      </c>
      <c r="F108" s="13">
        <v>5293.82</v>
      </c>
      <c r="G108" s="32">
        <v>19696.239999999998</v>
      </c>
      <c r="H108" s="36">
        <v>2532.12</v>
      </c>
      <c r="I108"/>
    </row>
    <row r="109" spans="1:9" s="1" customFormat="1" x14ac:dyDescent="0.25">
      <c r="A109" s="5"/>
      <c r="B109" s="8" t="s">
        <v>144</v>
      </c>
      <c r="C109" s="13">
        <v>0</v>
      </c>
      <c r="D109" s="13">
        <v>0</v>
      </c>
      <c r="E109" s="13">
        <v>0</v>
      </c>
      <c r="F109" s="13">
        <v>0</v>
      </c>
      <c r="G109" s="32">
        <v>0</v>
      </c>
      <c r="H109" s="37" t="s">
        <v>151</v>
      </c>
      <c r="I109"/>
    </row>
    <row r="110" spans="1:9" s="1" customFormat="1" x14ac:dyDescent="0.25">
      <c r="A110" s="5"/>
      <c r="B110" s="8" t="s">
        <v>116</v>
      </c>
      <c r="C110" s="13">
        <v>7517.79</v>
      </c>
      <c r="D110" s="13">
        <v>706.96</v>
      </c>
      <c r="E110" s="13">
        <v>7361.7199999999993</v>
      </c>
      <c r="F110" s="13">
        <v>3473.64</v>
      </c>
      <c r="G110" s="32">
        <v>19060.11</v>
      </c>
      <c r="H110" s="37" t="s">
        <v>151</v>
      </c>
      <c r="I110"/>
    </row>
    <row r="111" spans="1:9" s="1" customFormat="1" x14ac:dyDescent="0.25">
      <c r="A111" s="5"/>
      <c r="B111" s="8" t="s">
        <v>117</v>
      </c>
      <c r="C111" s="13">
        <v>5262.46</v>
      </c>
      <c r="D111" s="13">
        <v>0</v>
      </c>
      <c r="E111" s="13">
        <v>3501.56</v>
      </c>
      <c r="F111" s="13">
        <v>3638.78</v>
      </c>
      <c r="G111" s="32">
        <v>12402.800000000001</v>
      </c>
      <c r="H111" s="37" t="s">
        <v>151</v>
      </c>
      <c r="I111"/>
    </row>
    <row r="112" spans="1:9" s="1" customFormat="1" x14ac:dyDescent="0.25">
      <c r="A112" s="5"/>
      <c r="B112" s="8" t="s">
        <v>118</v>
      </c>
      <c r="C112" s="13">
        <v>0</v>
      </c>
      <c r="D112" s="13">
        <v>0</v>
      </c>
      <c r="E112" s="13">
        <v>915.57999999999993</v>
      </c>
      <c r="F112" s="13">
        <v>3957.4</v>
      </c>
      <c r="G112" s="32">
        <v>4872.9799999999996</v>
      </c>
      <c r="H112" s="37" t="s">
        <v>151</v>
      </c>
      <c r="I112"/>
    </row>
    <row r="113" spans="1:9" s="1" customFormat="1" x14ac:dyDescent="0.25">
      <c r="A113" s="5"/>
      <c r="B113" s="8" t="s">
        <v>119</v>
      </c>
      <c r="C113" s="13">
        <v>7517.79</v>
      </c>
      <c r="D113" s="13">
        <v>1248.95</v>
      </c>
      <c r="E113" s="13">
        <v>10232.6</v>
      </c>
      <c r="F113" s="13">
        <v>6895.9800000000005</v>
      </c>
      <c r="G113" s="32">
        <v>25895.32</v>
      </c>
      <c r="H113" s="37" t="s">
        <v>151</v>
      </c>
      <c r="I113"/>
    </row>
    <row r="114" spans="1:9" s="1" customFormat="1" x14ac:dyDescent="0.25">
      <c r="A114" s="5"/>
      <c r="B114" s="8" t="s">
        <v>120</v>
      </c>
      <c r="C114" s="13">
        <v>0</v>
      </c>
      <c r="D114" s="13">
        <v>0</v>
      </c>
      <c r="E114" s="13">
        <v>1538.02</v>
      </c>
      <c r="F114" s="13">
        <v>0</v>
      </c>
      <c r="G114" s="32">
        <v>1538.02</v>
      </c>
      <c r="H114" s="37" t="s">
        <v>151</v>
      </c>
      <c r="I114"/>
    </row>
    <row r="115" spans="1:9" s="1" customFormat="1" x14ac:dyDescent="0.25">
      <c r="A115" s="5"/>
      <c r="B115" s="8" t="s">
        <v>121</v>
      </c>
      <c r="C115" s="13">
        <v>5262.46</v>
      </c>
      <c r="D115" s="13">
        <v>464.09</v>
      </c>
      <c r="E115" s="13">
        <v>4524.43</v>
      </c>
      <c r="F115" s="13">
        <v>8250.24</v>
      </c>
      <c r="G115" s="32">
        <v>18501.22</v>
      </c>
      <c r="H115" s="37" t="s">
        <v>151</v>
      </c>
      <c r="I115"/>
    </row>
    <row r="116" spans="1:9" s="1" customFormat="1" x14ac:dyDescent="0.25">
      <c r="A116" s="5"/>
      <c r="B116" s="8" t="s">
        <v>122</v>
      </c>
      <c r="C116" s="13">
        <v>0</v>
      </c>
      <c r="D116" s="13">
        <v>673.3</v>
      </c>
      <c r="E116" s="13">
        <v>3319.79</v>
      </c>
      <c r="F116" s="13">
        <v>2024.26</v>
      </c>
      <c r="G116" s="32">
        <v>6017.35</v>
      </c>
      <c r="H116" s="37" t="s">
        <v>151</v>
      </c>
      <c r="I116"/>
    </row>
    <row r="117" spans="1:9" s="1" customFormat="1" x14ac:dyDescent="0.25">
      <c r="A117" s="5"/>
      <c r="B117" s="8" t="s">
        <v>123</v>
      </c>
      <c r="C117" s="13">
        <v>0</v>
      </c>
      <c r="D117" s="13">
        <v>0</v>
      </c>
      <c r="E117" s="13">
        <v>2167.4499999999998</v>
      </c>
      <c r="F117" s="13">
        <v>0</v>
      </c>
      <c r="G117" s="32">
        <v>2167.4499999999998</v>
      </c>
      <c r="H117" s="37" t="s">
        <v>151</v>
      </c>
      <c r="I117"/>
    </row>
    <row r="118" spans="1:9" s="1" customFormat="1" x14ac:dyDescent="0.25">
      <c r="A118" s="5"/>
      <c r="B118" s="8" t="s">
        <v>124</v>
      </c>
      <c r="C118" s="13">
        <v>0</v>
      </c>
      <c r="D118" s="13">
        <v>0</v>
      </c>
      <c r="E118" s="13">
        <v>1851.8300000000002</v>
      </c>
      <c r="F118" s="13">
        <v>0</v>
      </c>
      <c r="G118" s="32">
        <v>1851.8300000000002</v>
      </c>
      <c r="H118" s="37" t="s">
        <v>151</v>
      </c>
      <c r="I118"/>
    </row>
    <row r="119" spans="1:9" s="1" customFormat="1" x14ac:dyDescent="0.25">
      <c r="A119" s="5"/>
      <c r="B119" s="8" t="s">
        <v>125</v>
      </c>
      <c r="C119" s="13">
        <v>0</v>
      </c>
      <c r="D119" s="13">
        <v>0</v>
      </c>
      <c r="E119" s="13">
        <v>802.68000000000006</v>
      </c>
      <c r="F119" s="13">
        <v>0</v>
      </c>
      <c r="G119" s="32">
        <v>802.68000000000006</v>
      </c>
      <c r="H119" s="37" t="s">
        <v>151</v>
      </c>
      <c r="I119"/>
    </row>
    <row r="120" spans="1:9" s="1" customFormat="1" x14ac:dyDescent="0.25">
      <c r="A120" s="5"/>
      <c r="B120" s="8" t="s">
        <v>126</v>
      </c>
      <c r="C120" s="13">
        <v>7517.79</v>
      </c>
      <c r="D120" s="13">
        <v>0</v>
      </c>
      <c r="E120" s="13">
        <v>2893.4900000000002</v>
      </c>
      <c r="F120" s="13">
        <v>6500.88</v>
      </c>
      <c r="G120" s="32">
        <v>16912.16</v>
      </c>
      <c r="H120" s="37" t="s">
        <v>151</v>
      </c>
      <c r="I120"/>
    </row>
    <row r="121" spans="1:9" s="1" customFormat="1" x14ac:dyDescent="0.25">
      <c r="A121" s="5"/>
      <c r="B121" s="8" t="s">
        <v>127</v>
      </c>
      <c r="C121" s="13">
        <v>0</v>
      </c>
      <c r="D121" s="13">
        <v>0</v>
      </c>
      <c r="E121" s="13">
        <v>362.77</v>
      </c>
      <c r="F121" s="13">
        <v>0</v>
      </c>
      <c r="G121" s="32">
        <v>362.77</v>
      </c>
      <c r="H121" s="37" t="s">
        <v>151</v>
      </c>
      <c r="I121"/>
    </row>
    <row r="122" spans="1:9" s="1" customFormat="1" x14ac:dyDescent="0.25">
      <c r="A122" s="5"/>
      <c r="B122" s="8" t="s">
        <v>128</v>
      </c>
      <c r="C122" s="13">
        <v>3965.2</v>
      </c>
      <c r="D122" s="13">
        <v>0</v>
      </c>
      <c r="E122" s="13">
        <v>3917.9700000000003</v>
      </c>
      <c r="F122" s="13">
        <v>5448.26</v>
      </c>
      <c r="G122" s="32">
        <v>13331.43</v>
      </c>
      <c r="H122" s="37" t="s">
        <v>151</v>
      </c>
      <c r="I122"/>
    </row>
    <row r="123" spans="1:9" s="1" customFormat="1" ht="15.75" thickBot="1" x14ac:dyDescent="0.3">
      <c r="A123" s="5"/>
      <c r="B123" s="8" t="s">
        <v>129</v>
      </c>
      <c r="C123" s="13">
        <v>7517.79</v>
      </c>
      <c r="D123" s="13">
        <v>126.96</v>
      </c>
      <c r="E123" s="13">
        <v>6896.04</v>
      </c>
      <c r="F123" s="13">
        <v>4734.97</v>
      </c>
      <c r="G123" s="32">
        <v>19275.760000000002</v>
      </c>
      <c r="H123" s="37" t="s">
        <v>151</v>
      </c>
      <c r="I123"/>
    </row>
    <row r="124" spans="1:9" s="1" customFormat="1" ht="15.75" thickBot="1" x14ac:dyDescent="0.3">
      <c r="A124" s="9" t="s">
        <v>18</v>
      </c>
      <c r="B124" s="20"/>
      <c r="C124" s="15">
        <v>214011.58000000005</v>
      </c>
      <c r="D124" s="15">
        <v>18050.739999999998</v>
      </c>
      <c r="E124" s="15">
        <v>231392.55999999997</v>
      </c>
      <c r="F124" s="15">
        <v>174259.36000000002</v>
      </c>
      <c r="G124" s="15">
        <v>637714.24</v>
      </c>
      <c r="H124" s="39">
        <f>SUM(H64:H123)</f>
        <v>31724.889999999996</v>
      </c>
      <c r="I124"/>
    </row>
    <row r="125" spans="1:9" s="1" customFormat="1" x14ac:dyDescent="0.25">
      <c r="A125" s="3"/>
      <c r="B125" s="12"/>
      <c r="C125" s="17"/>
      <c r="D125" s="17"/>
      <c r="E125" s="17"/>
      <c r="F125" s="17"/>
      <c r="G125" s="33"/>
      <c r="H125" s="36"/>
      <c r="I125"/>
    </row>
    <row r="126" spans="1:9" s="1" customFormat="1" x14ac:dyDescent="0.25">
      <c r="A126" s="5" t="s">
        <v>19</v>
      </c>
      <c r="B126" s="22" t="s">
        <v>130</v>
      </c>
      <c r="C126" s="13">
        <v>1652.18</v>
      </c>
      <c r="D126" s="13">
        <v>150</v>
      </c>
      <c r="E126" s="13">
        <v>5553.630000000001</v>
      </c>
      <c r="F126" s="13">
        <v>1439.17</v>
      </c>
      <c r="G126" s="32">
        <v>8794.9800000000014</v>
      </c>
      <c r="H126" s="37" t="s">
        <v>151</v>
      </c>
      <c r="I126"/>
    </row>
    <row r="127" spans="1:9" s="1" customFormat="1" x14ac:dyDescent="0.25">
      <c r="A127" s="5"/>
      <c r="B127" s="22" t="s">
        <v>131</v>
      </c>
      <c r="C127" s="13">
        <v>5262.46</v>
      </c>
      <c r="D127" s="13">
        <v>233.7</v>
      </c>
      <c r="E127" s="13">
        <v>6022.63</v>
      </c>
      <c r="F127" s="13">
        <v>3792.9300000000003</v>
      </c>
      <c r="G127" s="32">
        <v>15311.720000000001</v>
      </c>
      <c r="H127" s="37" t="s">
        <v>151</v>
      </c>
      <c r="I127"/>
    </row>
    <row r="128" spans="1:9" s="1" customFormat="1" x14ac:dyDescent="0.25">
      <c r="A128" s="5"/>
      <c r="B128" s="22" t="s">
        <v>132</v>
      </c>
      <c r="C128" s="13">
        <v>4914.78</v>
      </c>
      <c r="D128" s="13">
        <v>1062.29</v>
      </c>
      <c r="E128" s="13">
        <v>9330.9500000000007</v>
      </c>
      <c r="F128" s="13">
        <v>2731.64</v>
      </c>
      <c r="G128" s="32">
        <v>18039.66</v>
      </c>
      <c r="H128" s="37" t="s">
        <v>151</v>
      </c>
      <c r="I128"/>
    </row>
    <row r="129" spans="1:9" s="1" customFormat="1" x14ac:dyDescent="0.25">
      <c r="A129" s="5"/>
      <c r="B129" s="22" t="s">
        <v>133</v>
      </c>
      <c r="C129" s="13">
        <v>7517.79</v>
      </c>
      <c r="D129" s="13">
        <v>0</v>
      </c>
      <c r="E129" s="13">
        <v>4636.84</v>
      </c>
      <c r="F129" s="13">
        <v>39.049999999999997</v>
      </c>
      <c r="G129" s="32">
        <v>12193.68</v>
      </c>
      <c r="H129" s="37" t="s">
        <v>151</v>
      </c>
      <c r="I129"/>
    </row>
    <row r="130" spans="1:9" s="1" customFormat="1" x14ac:dyDescent="0.25">
      <c r="A130" s="5"/>
      <c r="B130" s="22" t="s">
        <v>134</v>
      </c>
      <c r="C130" s="13">
        <v>4510.66</v>
      </c>
      <c r="D130" s="13">
        <v>617.39</v>
      </c>
      <c r="E130" s="13">
        <v>4202.68</v>
      </c>
      <c r="F130" s="13">
        <v>6463.79</v>
      </c>
      <c r="G130" s="32">
        <v>15794.52</v>
      </c>
      <c r="H130" s="37" t="s">
        <v>151</v>
      </c>
      <c r="I130"/>
    </row>
    <row r="131" spans="1:9" s="1" customFormat="1" x14ac:dyDescent="0.25">
      <c r="A131" s="5"/>
      <c r="B131" s="22" t="s">
        <v>135</v>
      </c>
      <c r="C131" s="13">
        <v>5262.46</v>
      </c>
      <c r="D131" s="13">
        <v>869.73</v>
      </c>
      <c r="E131" s="13">
        <v>6395.27</v>
      </c>
      <c r="F131" s="13">
        <v>4190.08</v>
      </c>
      <c r="G131" s="32">
        <v>16717.54</v>
      </c>
      <c r="H131" s="37" t="s">
        <v>151</v>
      </c>
      <c r="I131"/>
    </row>
    <row r="132" spans="1:9" s="1" customFormat="1" x14ac:dyDescent="0.25">
      <c r="A132" s="5"/>
      <c r="B132" s="22" t="s">
        <v>136</v>
      </c>
      <c r="C132" s="13">
        <v>7517.79</v>
      </c>
      <c r="D132" s="13">
        <v>0</v>
      </c>
      <c r="E132" s="13">
        <v>1458.23</v>
      </c>
      <c r="F132" s="13">
        <v>2564.0300000000002</v>
      </c>
      <c r="G132" s="32">
        <v>11540.050000000001</v>
      </c>
      <c r="H132" s="37" t="s">
        <v>151</v>
      </c>
      <c r="I132"/>
    </row>
    <row r="133" spans="1:9" s="1" customFormat="1" x14ac:dyDescent="0.25">
      <c r="A133" s="5"/>
      <c r="B133" s="22" t="s">
        <v>137</v>
      </c>
      <c r="C133" s="13">
        <v>7517.79</v>
      </c>
      <c r="D133" s="13">
        <v>365.28</v>
      </c>
      <c r="E133" s="13">
        <v>7966.0499999999993</v>
      </c>
      <c r="F133" s="13">
        <v>3051.6</v>
      </c>
      <c r="G133" s="32">
        <v>18900.719999999998</v>
      </c>
      <c r="H133" s="37" t="s">
        <v>151</v>
      </c>
      <c r="I133"/>
    </row>
    <row r="134" spans="1:9" s="1" customFormat="1" x14ac:dyDescent="0.25">
      <c r="A134" s="5"/>
      <c r="B134" s="22" t="s">
        <v>138</v>
      </c>
      <c r="C134" s="13">
        <v>7517.79</v>
      </c>
      <c r="D134" s="13">
        <v>252.17000000000002</v>
      </c>
      <c r="E134" s="13">
        <v>13709.439999999999</v>
      </c>
      <c r="F134" s="13">
        <v>6943.369999999999</v>
      </c>
      <c r="G134" s="32">
        <v>28422.769999999997</v>
      </c>
      <c r="H134" s="37" t="s">
        <v>151</v>
      </c>
      <c r="I134"/>
    </row>
    <row r="135" spans="1:9" s="1" customFormat="1" x14ac:dyDescent="0.25">
      <c r="A135" s="5"/>
      <c r="B135" s="22" t="s">
        <v>139</v>
      </c>
      <c r="C135" s="13">
        <v>7517.79</v>
      </c>
      <c r="D135" s="13">
        <v>537.38</v>
      </c>
      <c r="E135" s="13">
        <v>9804.1899999999987</v>
      </c>
      <c r="F135" s="13">
        <v>7476.1799999999994</v>
      </c>
      <c r="G135" s="32">
        <v>25335.54</v>
      </c>
      <c r="H135" s="37" t="s">
        <v>151</v>
      </c>
      <c r="I135"/>
    </row>
    <row r="136" spans="1:9" s="1" customFormat="1" x14ac:dyDescent="0.25">
      <c r="A136" s="5"/>
      <c r="B136" s="22" t="s">
        <v>140</v>
      </c>
      <c r="C136" s="13">
        <v>7517.79</v>
      </c>
      <c r="D136" s="13">
        <v>0</v>
      </c>
      <c r="E136" s="13">
        <v>4709.3100000000004</v>
      </c>
      <c r="F136" s="13">
        <v>7267.55</v>
      </c>
      <c r="G136" s="32">
        <v>19494.650000000001</v>
      </c>
      <c r="H136" s="37" t="s">
        <v>151</v>
      </c>
      <c r="I136"/>
    </row>
    <row r="137" spans="1:9" s="1" customFormat="1" ht="15.75" thickBot="1" x14ac:dyDescent="0.3">
      <c r="A137" s="4"/>
      <c r="B137" s="22" t="s">
        <v>141</v>
      </c>
      <c r="C137" s="13">
        <v>5262.46</v>
      </c>
      <c r="D137" s="13">
        <v>141.91</v>
      </c>
      <c r="E137" s="13">
        <v>6777.8099999999995</v>
      </c>
      <c r="F137" s="13">
        <v>2810.54</v>
      </c>
      <c r="G137" s="32">
        <v>14992.720000000001</v>
      </c>
      <c r="H137" s="37" t="s">
        <v>151</v>
      </c>
      <c r="I137"/>
    </row>
    <row r="138" spans="1:9" s="1" customFormat="1" ht="15.75" thickBot="1" x14ac:dyDescent="0.3">
      <c r="A138" s="9" t="s">
        <v>20</v>
      </c>
      <c r="B138" s="18"/>
      <c r="C138" s="15">
        <v>71971.740000000005</v>
      </c>
      <c r="D138" s="15">
        <v>4229.8500000000004</v>
      </c>
      <c r="E138" s="15">
        <v>80567.03</v>
      </c>
      <c r="F138" s="15">
        <v>48769.93</v>
      </c>
      <c r="G138" s="15">
        <v>205538.55000000002</v>
      </c>
      <c r="H138" s="38" t="s">
        <v>151</v>
      </c>
      <c r="I138"/>
    </row>
    <row r="139" spans="1:9" s="1" customFormat="1" x14ac:dyDescent="0.25">
      <c r="A139" s="5"/>
      <c r="B139" s="19"/>
      <c r="C139" s="13"/>
      <c r="D139" s="13"/>
      <c r="E139" s="13"/>
      <c r="F139" s="13"/>
      <c r="G139" s="32"/>
      <c r="H139" s="36"/>
      <c r="I139"/>
    </row>
    <row r="140" spans="1:9" s="1" customFormat="1" ht="15.75" thickBot="1" x14ac:dyDescent="0.3">
      <c r="A140" s="4" t="s">
        <v>21</v>
      </c>
      <c r="B140" s="7" t="s">
        <v>142</v>
      </c>
      <c r="C140" s="23">
        <v>0</v>
      </c>
      <c r="D140" s="23">
        <v>0</v>
      </c>
      <c r="E140" s="23">
        <v>380.49</v>
      </c>
      <c r="F140" s="23">
        <v>0</v>
      </c>
      <c r="G140" s="34">
        <v>380.49</v>
      </c>
      <c r="H140" s="37" t="s">
        <v>151</v>
      </c>
      <c r="I140"/>
    </row>
    <row r="141" spans="1:9" s="1" customFormat="1" ht="15.75" thickBot="1" x14ac:dyDescent="0.3">
      <c r="A141" s="4" t="s">
        <v>22</v>
      </c>
      <c r="B141" s="10"/>
      <c r="C141" s="24">
        <v>0</v>
      </c>
      <c r="D141" s="24">
        <v>0</v>
      </c>
      <c r="E141" s="24">
        <v>380.49</v>
      </c>
      <c r="F141" s="24">
        <v>0</v>
      </c>
      <c r="G141" s="24">
        <v>380.49</v>
      </c>
      <c r="H141" s="38" t="s">
        <v>151</v>
      </c>
      <c r="I141"/>
    </row>
    <row r="142" spans="1:9" s="1" customFormat="1" ht="15.75" thickBot="1" x14ac:dyDescent="0.3">
      <c r="A142" s="4"/>
      <c r="B142" s="10"/>
      <c r="C142" s="23"/>
      <c r="D142" s="23"/>
      <c r="E142" s="23"/>
      <c r="F142" s="23"/>
      <c r="G142" s="34"/>
      <c r="H142" s="36"/>
      <c r="I142"/>
    </row>
    <row r="143" spans="1:9" s="1" customFormat="1" ht="15.75" thickBot="1" x14ac:dyDescent="0.3">
      <c r="A143" s="4" t="s">
        <v>4</v>
      </c>
      <c r="B143" s="10"/>
      <c r="C143" s="24">
        <v>487831</v>
      </c>
      <c r="D143" s="24">
        <v>76163</v>
      </c>
      <c r="E143" s="24">
        <v>695344.45</v>
      </c>
      <c r="F143" s="24">
        <v>461238</v>
      </c>
      <c r="G143" s="24">
        <v>1720579</v>
      </c>
      <c r="H143" s="39">
        <f>H124+H58+H24</f>
        <v>74969.539999999994</v>
      </c>
      <c r="I143"/>
    </row>
    <row r="145" spans="1:7" ht="33" customHeight="1" x14ac:dyDescent="0.25">
      <c r="A145" s="25" t="s">
        <v>146</v>
      </c>
      <c r="B145" s="46" t="s">
        <v>147</v>
      </c>
      <c r="C145" s="46"/>
      <c r="D145" s="46"/>
      <c r="E145" s="46"/>
      <c r="F145" s="46"/>
      <c r="G145" s="46"/>
    </row>
  </sheetData>
  <mergeCells count="8">
    <mergeCell ref="H3:H4"/>
    <mergeCell ref="A1:H2"/>
    <mergeCell ref="B145:G145"/>
    <mergeCell ref="G3:G4"/>
    <mergeCell ref="C3:D3"/>
    <mergeCell ref="E3:F3"/>
    <mergeCell ref="A3:A4"/>
    <mergeCell ref="B3:B4"/>
  </mergeCells>
  <pageMargins left="0.7" right="0.7" top="0.75" bottom="0.75" header="0.3" footer="0.3"/>
  <pageSetup paperSize="9" scale="75" fitToHeight="0" orientation="portrait" r:id="rId1"/>
  <ignoredErrors>
    <ignoredError sqref="A1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Parties</vt:lpstr>
    </vt:vector>
  </TitlesOfParts>
  <Company>Parliamentary Service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Nitschke</dc:creator>
  <cp:lastModifiedBy>Jodie Parsons</cp:lastModifiedBy>
  <dcterms:created xsi:type="dcterms:W3CDTF">2016-02-17T00:15:25Z</dcterms:created>
  <dcterms:modified xsi:type="dcterms:W3CDTF">2016-02-24T03:13:39Z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A1205327</vt:lpwstr>
  </property>
  <property fmtid="{D5CDD505-2E9C-101B-9397-08002B2CF9AE}" pid="4" name="Objective-Title">
    <vt:lpwstr>Disclosure of Members' Expenses - 1 October to 31 December 2015 [XLSX 24k]</vt:lpwstr>
  </property>
  <property fmtid="{D5CDD505-2E9C-101B-9397-08002B2CF9AE}" pid="5" name="Objective-Comment">
    <vt:lpwstr/>
  </property>
  <property fmtid="{D5CDD505-2E9C-101B-9397-08002B2CF9AE}" pid="6" name="Objective-CreationStamp">
    <vt:filetime>2016-02-24T22:24:24Z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2016-02-24T22:24:24Z</vt:filetime>
  </property>
  <property fmtid="{D5CDD505-2E9C-101B-9397-08002B2CF9AE}" pid="10" name="Objective-ModificationStamp">
    <vt:filetime>2016-02-24T22:24:58Z</vt:filetime>
  </property>
  <property fmtid="{D5CDD505-2E9C-101B-9397-08002B2CF9AE}" pid="11" name="Objective-Owner">
    <vt:lpwstr>Jodie Parsons</vt:lpwstr>
  </property>
  <property fmtid="{D5CDD505-2E9C-101B-9397-08002B2CF9AE}" pid="12" name="Objective-Path">
    <vt:lpwstr>Objective Global Folder:PARLIAMENTARY SERVICE TAXONOMY:Member entitlements and rules:Disclosure of members' expenses:2015/2016 Disclosure of members' expenses:Q2 2015/2016 - October to December 2015 - disclosure of members' expenses:Q2 2015/2016 - Published information - disclosure of members' expenses:</vt:lpwstr>
  </property>
  <property fmtid="{D5CDD505-2E9C-101B-9397-08002B2CF9AE}" pid="13" name="Objective-Parent">
    <vt:lpwstr>Q2 2015/2016 - Published information - disclosure of members' expenses</vt:lpwstr>
  </property>
  <property fmtid="{D5CDD505-2E9C-101B-9397-08002B2CF9AE}" pid="14" name="Objective-State">
    <vt:lpwstr>Published</vt:lpwstr>
  </property>
  <property fmtid="{D5CDD505-2E9C-101B-9397-08002B2CF9AE}" pid="15" name="Objective-Version">
    <vt:lpwstr>1.0</vt:lpwstr>
  </property>
  <property fmtid="{D5CDD505-2E9C-101B-9397-08002B2CF9AE}" pid="16" name="Objective-VersionNumber">
    <vt:r8>1</vt:r8>
  </property>
  <property fmtid="{D5CDD505-2E9C-101B-9397-08002B2CF9AE}" pid="17" name="Objective-VersionComment">
    <vt:lpwstr>First version</vt:lpwstr>
  </property>
  <property fmtid="{D5CDD505-2E9C-101B-9397-08002B2CF9AE}" pid="18" name="Objective-FileNumber">
    <vt:lpwstr>PS61625</vt:lpwstr>
  </property>
  <property fmtid="{D5CDD505-2E9C-101B-9397-08002B2CF9AE}" pid="19" name="Objective-Classification">
    <vt:lpwstr>[Inherited - Unclassified]</vt:lpwstr>
  </property>
  <property fmtid="{D5CDD505-2E9C-101B-9397-08002B2CF9AE}" pid="20" name="Objective-Caveats">
    <vt:lpwstr/>
  </property>
</Properties>
</file>