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nance\Finance\03 Reporting\3.2 Reporting - PC\Members' Expense Disclosure\FY 2025-26\Q2\"/>
    </mc:Choice>
  </mc:AlternateContent>
  <xr:revisionPtr revIDLastSave="0" documentId="13_ncr:1_{07E1FB66-BAE5-4400-8EDB-15492BB0D20D}" xr6:coauthVersionLast="47" xr6:coauthVersionMax="47" xr10:uidLastSave="{00000000-0000-0000-0000-000000000000}"/>
  <bookViews>
    <workbookView xWindow="-28920" yWindow="-120" windowWidth="29040" windowHeight="15720" xr2:uid="{0957EC28-E23E-4D91-A248-479070FE7FF6}"/>
  </bookViews>
  <sheets>
    <sheet name="ALL" sheetId="1" r:id="rId1"/>
  </sheets>
  <externalReferences>
    <externalReference r:id="rId2"/>
    <externalReference r:id="rId3"/>
  </externalReferences>
  <definedNames>
    <definedName name="Crown_Act">#REF!</definedName>
    <definedName name="Crown_CC">#REF!</definedName>
    <definedName name="FINANCIALS_PC_53RDPowerExlRange01" localSheetId="0">[1]Sheet1!$A$4,[1]Sheet1!$B$4</definedName>
    <definedName name="FINANCIALS_PC_53RDPowerExlRange01">[2]Sheet1!$A$4,[2]Sheet1!$B$4</definedName>
    <definedName name="FINANCIALS_PC_53RDPowerExlRange02" localSheetId="0">[1]Sheet1!$C$4,[1]Sheet1!$D$4</definedName>
    <definedName name="FINANCIALS_PC_53RDPowerExlRange02">[2]Sheet1!$C$4,[2]Sheet1!$D$4</definedName>
    <definedName name="FINANCIALS_PC_53RDPowerExlRange03" localSheetId="0">[1]Sheet1!$E$4,[1]Sheet1!$F$4</definedName>
    <definedName name="FINANCIALS_PC_53RDPowerExlRange03">[2]Sheet1!$E$4,[2]Sheet1!$F$4</definedName>
    <definedName name="FINANCIALS_PC_53RDPowerExlRange04" localSheetId="0">[1]Sheet1!$G$4,[1]Sheet1!$H$4</definedName>
    <definedName name="FINANCIALS_PC_53RDPowerExlRange04">[2]Sheet1!$G$4,[2]Sheet1!$H$4</definedName>
    <definedName name="Natural">#REF!</definedName>
    <definedName name="OOC_Act">#REF!</definedName>
    <definedName name="OOC_CC">#REF!</definedName>
    <definedName name="PCO_Act">#REF!</definedName>
    <definedName name="PCO_CC">#REF!</definedName>
    <definedName name="_xlnm.Print_Titles" localSheetId="0">ALL!$1:$4</definedName>
    <definedName name="PS_Act">#REF!</definedName>
    <definedName name="PS_C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5" i="1" l="1"/>
  <c r="L95" i="1"/>
  <c r="L125" i="1" s="1"/>
  <c r="L88" i="1"/>
  <c r="G77" i="1"/>
  <c r="F77" i="1"/>
  <c r="L41" i="1"/>
  <c r="L70" i="1" s="1"/>
  <c r="L35" i="1"/>
  <c r="L18" i="1"/>
  <c r="L137" i="1" l="1"/>
</calcChain>
</file>

<file path=xl/sharedStrings.xml><?xml version="1.0" encoding="utf-8"?>
<sst xmlns="http://schemas.openxmlformats.org/spreadsheetml/2006/main" count="401" uniqueCount="397">
  <si>
    <t>Party</t>
  </si>
  <si>
    <t>Member</t>
  </si>
  <si>
    <t>Accommodation</t>
  </si>
  <si>
    <t>Travel</t>
  </si>
  <si>
    <t>Grand Total</t>
  </si>
  <si>
    <t>Inter-Parliamentary Office of the Clerk</t>
  </si>
  <si>
    <t>New Cost Centre</t>
  </si>
  <si>
    <t>Name</t>
  </si>
  <si>
    <t>Wellington</t>
  </si>
  <si>
    <t>Non Wellington</t>
  </si>
  <si>
    <t>International</t>
  </si>
  <si>
    <t>Domestic</t>
  </si>
  <si>
    <t>VIP Transport</t>
  </si>
  <si>
    <t>Independent</t>
  </si>
  <si>
    <t>Ferris, Tākuta</t>
  </si>
  <si>
    <t xml:space="preserve">Kapa-Kingi, Mariameno </t>
  </si>
  <si>
    <t>1125</t>
  </si>
  <si>
    <t>Mark Cameron</t>
  </si>
  <si>
    <t>ACT</t>
  </si>
  <si>
    <t>Cameron, Mark</t>
  </si>
  <si>
    <t>1137</t>
  </si>
  <si>
    <t>Karen Chhour</t>
  </si>
  <si>
    <t xml:space="preserve">Chhour, Karen </t>
  </si>
  <si>
    <t>1180</t>
  </si>
  <si>
    <t>Simon Court</t>
  </si>
  <si>
    <t xml:space="preserve">Court, Simon </t>
  </si>
  <si>
    <t>1382</t>
  </si>
  <si>
    <t>Andrew Hoggard</t>
  </si>
  <si>
    <t xml:space="preserve">Hoggard, Andrew </t>
  </si>
  <si>
    <t>1519</t>
  </si>
  <si>
    <t>Cameron Luxton</t>
  </si>
  <si>
    <t xml:space="preserve">Luxton, Cameron </t>
  </si>
  <si>
    <t>1867</t>
  </si>
  <si>
    <t>Laura McClure</t>
  </si>
  <si>
    <t xml:space="preserve">McClure, Laura </t>
  </si>
  <si>
    <t>1548</t>
  </si>
  <si>
    <t>Nicole McKee</t>
  </si>
  <si>
    <t xml:space="preserve">McKee, Nicole </t>
  </si>
  <si>
    <t>1688</t>
  </si>
  <si>
    <t>Parmjeet Parmar</t>
  </si>
  <si>
    <t>1766</t>
  </si>
  <si>
    <t>David Seymour</t>
  </si>
  <si>
    <t xml:space="preserve">Seymour, David </t>
  </si>
  <si>
    <t>1808</t>
  </si>
  <si>
    <t>Todd Stephenson</t>
  </si>
  <si>
    <t xml:space="preserve">Stephenson, Todd </t>
  </si>
  <si>
    <t>1891</t>
  </si>
  <si>
    <t>Brooke van Velden</t>
  </si>
  <si>
    <t xml:space="preserve">van Velden, Brooke </t>
  </si>
  <si>
    <t>ACT Total</t>
  </si>
  <si>
    <t>1002</t>
  </si>
  <si>
    <t>Steve Abel</t>
  </si>
  <si>
    <t>Green</t>
  </si>
  <si>
    <t xml:space="preserve">Abel, Steve </t>
  </si>
  <si>
    <t>1127</t>
  </si>
  <si>
    <t>Kahurangi Carter</t>
  </si>
  <si>
    <t xml:space="preserve">Carter, Kahurangi </t>
  </si>
  <si>
    <t>1201</t>
  </si>
  <si>
    <t>Marama Davidson</t>
  </si>
  <si>
    <t xml:space="preserve">Davidson, Marama </t>
  </si>
  <si>
    <t>Davidson, Mike</t>
  </si>
  <si>
    <t>1232</t>
  </si>
  <si>
    <t>Benjamin Doyle</t>
  </si>
  <si>
    <t>1313</t>
  </si>
  <si>
    <t>Julie Anne Genter</t>
  </si>
  <si>
    <t xml:space="preserve">Genter, Julie Anne </t>
  </si>
  <si>
    <t>1381</t>
  </si>
  <si>
    <t>Francisco Hernandez</t>
  </si>
  <si>
    <t>Hernandez, Francisco</t>
  </si>
  <si>
    <t>1521</t>
  </si>
  <si>
    <t>Huhana Lyndon</t>
  </si>
  <si>
    <t xml:space="preserve">Lyndon, Hūhana </t>
  </si>
  <si>
    <t>1615</t>
  </si>
  <si>
    <t>Ricardo Menéndez March</t>
  </si>
  <si>
    <t xml:space="preserve">Menéndez March, Ricardo </t>
  </si>
  <si>
    <t>1693</t>
  </si>
  <si>
    <t>Tamatha Paul</t>
  </si>
  <si>
    <t xml:space="preserve">Paul, Tamatha </t>
  </si>
  <si>
    <t>1697</t>
  </si>
  <si>
    <t>Lan Pham</t>
  </si>
  <si>
    <t xml:space="preserve">Pham, Lan </t>
  </si>
  <si>
    <t>1824</t>
  </si>
  <si>
    <t>Chloe Swarbrick</t>
  </si>
  <si>
    <t>Swarbrick, Chlöe</t>
  </si>
  <si>
    <t>1863</t>
  </si>
  <si>
    <t>Teanau Tuiono</t>
  </si>
  <si>
    <t>1897</t>
  </si>
  <si>
    <t>Celia Wade-Brown</t>
  </si>
  <si>
    <t>Wade-Brown, Celia</t>
  </si>
  <si>
    <t>1925</t>
  </si>
  <si>
    <t>Scott Willis</t>
  </si>
  <si>
    <t>Willis, Scott</t>
  </si>
  <si>
    <t>1951</t>
  </si>
  <si>
    <t>Lawrence Xu-Nan</t>
  </si>
  <si>
    <t xml:space="preserve">Xu-Nan, Lawrence </t>
  </si>
  <si>
    <t>Green Total</t>
  </si>
  <si>
    <t>1023</t>
  </si>
  <si>
    <t>Ginny Andersen</t>
  </si>
  <si>
    <t>Labour</t>
  </si>
  <si>
    <t xml:space="preserve">Andersen, Ginny </t>
  </si>
  <si>
    <t>1076</t>
  </si>
  <si>
    <t>Camilla Belich</t>
  </si>
  <si>
    <t xml:space="preserve">Belich, Camilla </t>
  </si>
  <si>
    <t>1083</t>
  </si>
  <si>
    <t>Glen Bennett</t>
  </si>
  <si>
    <t xml:space="preserve">Bennett, Glen </t>
  </si>
  <si>
    <t>1099</t>
  </si>
  <si>
    <t>Rachel Boyack</t>
  </si>
  <si>
    <t xml:space="preserve">Boyack, Rachel </t>
  </si>
  <si>
    <t>1101</t>
  </si>
  <si>
    <t>Rachel Brooking</t>
  </si>
  <si>
    <t xml:space="preserve">Brooking, Rachel </t>
  </si>
  <si>
    <t>1203</t>
  </si>
  <si>
    <t>Reuben Davidson</t>
  </si>
  <si>
    <t xml:space="preserve">Davidson, Reuben </t>
  </si>
  <si>
    <t>1251</t>
  </si>
  <si>
    <t>Barbara Edmonds</t>
  </si>
  <si>
    <t xml:space="preserve">Edmonds, Barbara </t>
  </si>
  <si>
    <t>1363</t>
  </si>
  <si>
    <t>Shanan Halbert</t>
  </si>
  <si>
    <t xml:space="preserve">Halbert, Shanan </t>
  </si>
  <si>
    <t>1384</t>
  </si>
  <si>
    <t>Peeni Henare</t>
  </si>
  <si>
    <t>1389</t>
  </si>
  <si>
    <t>Chris Hipkins</t>
  </si>
  <si>
    <t>1413</t>
  </si>
  <si>
    <t>Willie Jackson</t>
  </si>
  <si>
    <t xml:space="preserve">Jackson, Willie </t>
  </si>
  <si>
    <t>1491</t>
  </si>
  <si>
    <t>Ingrid Leary</t>
  </si>
  <si>
    <t>Leary, Ingrid</t>
  </si>
  <si>
    <t>1518</t>
  </si>
  <si>
    <t>Jo Luxton</t>
  </si>
  <si>
    <t>1569</t>
  </si>
  <si>
    <t>Tracey McLellan</t>
  </si>
  <si>
    <t>McLellan, Tracey</t>
  </si>
  <si>
    <t>1570</t>
  </si>
  <si>
    <t>Kieran McAnulty</t>
  </si>
  <si>
    <t xml:space="preserve">McAnulty, Kieran </t>
  </si>
  <si>
    <t>1665</t>
  </si>
  <si>
    <t>Greg O'Connor</t>
  </si>
  <si>
    <t xml:space="preserve">O'Connor, Greg </t>
  </si>
  <si>
    <t>1670</t>
  </si>
  <si>
    <t>Damien O'Connor</t>
  </si>
  <si>
    <t>1696</t>
  </si>
  <si>
    <t>Willow-Jean Prime</t>
  </si>
  <si>
    <t xml:space="preserve">Prime, Willow-Jean </t>
  </si>
  <si>
    <t>1706</t>
  </si>
  <si>
    <t>Priyanca Radhakrishnan</t>
  </si>
  <si>
    <t>Radhakrishnan, Priyanca</t>
  </si>
  <si>
    <t>1750</t>
  </si>
  <si>
    <t>Deborah Russell</t>
  </si>
  <si>
    <t xml:space="preserve">Russell, Deborah </t>
  </si>
  <si>
    <t>1751</t>
  </si>
  <si>
    <t>Adrian Rurawhe</t>
  </si>
  <si>
    <t xml:space="preserve">Rurawhe, Adrian </t>
  </si>
  <si>
    <t>1761</t>
  </si>
  <si>
    <t>Carmel Sepuloni</t>
  </si>
  <si>
    <t xml:space="preserve">Sepuloni, Carmel </t>
  </si>
  <si>
    <t>1769</t>
  </si>
  <si>
    <t>Jenny Salesa</t>
  </si>
  <si>
    <t xml:space="preserve">Salesa, Jenny </t>
  </si>
  <si>
    <t>1800</t>
  </si>
  <si>
    <t>Lemauga Lydia Sosene</t>
  </si>
  <si>
    <t xml:space="preserve">Sosene, Lemauga Lydia </t>
  </si>
  <si>
    <t>1832</t>
  </si>
  <si>
    <t>Cushla Tangaere-Manuel</t>
  </si>
  <si>
    <t xml:space="preserve">Tangaere-Manuel, Cushla </t>
  </si>
  <si>
    <t>1857</t>
  </si>
  <si>
    <t>Jan Tinetti</t>
  </si>
  <si>
    <t xml:space="preserve">Tinetti, Jan </t>
  </si>
  <si>
    <t>1875</t>
  </si>
  <si>
    <t>Phil Twyford</t>
  </si>
  <si>
    <t>Twyford, Phil</t>
  </si>
  <si>
    <t>1884</t>
  </si>
  <si>
    <t>Tangi Utikere</t>
  </si>
  <si>
    <t xml:space="preserve">Utikere, Tangi </t>
  </si>
  <si>
    <t>1892</t>
  </si>
  <si>
    <t>Ayesha Verrall</t>
  </si>
  <si>
    <t xml:space="preserve">Verrall, Ayesha </t>
  </si>
  <si>
    <t>1900</t>
  </si>
  <si>
    <t>Vanushi Walters</t>
  </si>
  <si>
    <t>1913</t>
  </si>
  <si>
    <t>Duncan Webb</t>
  </si>
  <si>
    <t xml:space="preserve">Webb, Duncan </t>
  </si>
  <si>
    <t>1923</t>
  </si>
  <si>
    <t>Helen White</t>
  </si>
  <si>
    <t>White, Helen</t>
  </si>
  <si>
    <t>1927</t>
  </si>
  <si>
    <t>Arena Williams</t>
  </si>
  <si>
    <t>Williams, Arena</t>
  </si>
  <si>
    <t>1949</t>
  </si>
  <si>
    <t>Megan Woods</t>
  </si>
  <si>
    <t>Woods, Megan</t>
  </si>
  <si>
    <t>Labour Total</t>
  </si>
  <si>
    <t>Te Pāti Māori</t>
  </si>
  <si>
    <t>Kaipara, Oriini</t>
  </si>
  <si>
    <t>1575</t>
  </si>
  <si>
    <t>Hana-Rawhiti Maipi-Clarke</t>
  </si>
  <si>
    <t>Maipi-Clarke, Hana-Rawhiti</t>
  </si>
  <si>
    <t>1657</t>
  </si>
  <si>
    <t>Debbie Ngarewa-Packer</t>
  </si>
  <si>
    <t>1895</t>
  </si>
  <si>
    <t>Rawiri Waititi</t>
  </si>
  <si>
    <t>1025</t>
  </si>
  <si>
    <t>Miles Anderson</t>
  </si>
  <si>
    <t>National</t>
  </si>
  <si>
    <t xml:space="preserve">Anderson, Miles </t>
  </si>
  <si>
    <t>1071</t>
  </si>
  <si>
    <t>Carl Bates</t>
  </si>
  <si>
    <t xml:space="preserve">Bates, Carl </t>
  </si>
  <si>
    <t>1075</t>
  </si>
  <si>
    <t>Andrew Bayly</t>
  </si>
  <si>
    <t xml:space="preserve">Bayly, Andrew </t>
  </si>
  <si>
    <t>1082</t>
  </si>
  <si>
    <t>Dan Bidois</t>
  </si>
  <si>
    <t xml:space="preserve">Bidois, Dan </t>
  </si>
  <si>
    <t>1092</t>
  </si>
  <si>
    <t>Chris Bishop</t>
  </si>
  <si>
    <t xml:space="preserve">Bishop, Chris </t>
  </si>
  <si>
    <t>1103</t>
  </si>
  <si>
    <t>Cameron Brewer</t>
  </si>
  <si>
    <t xml:space="preserve">Brewer, Cameron </t>
  </si>
  <si>
    <t>1108</t>
  </si>
  <si>
    <t>Gerry Brownlee</t>
  </si>
  <si>
    <t>Brownlee, Gerry (1) (2)</t>
  </si>
  <si>
    <t>1109</t>
  </si>
  <si>
    <t>Simeon Brown</t>
  </si>
  <si>
    <t xml:space="preserve">Brown, Simeon </t>
  </si>
  <si>
    <t>1119</t>
  </si>
  <si>
    <t>Mike Butterick</t>
  </si>
  <si>
    <t xml:space="preserve">Butterick, Mike </t>
  </si>
  <si>
    <t>1129</t>
  </si>
  <si>
    <t>Hamish Campbell</t>
  </si>
  <si>
    <t xml:space="preserve">Campbell, Hamish </t>
  </si>
  <si>
    <t>1141</t>
  </si>
  <si>
    <t>Carlos Cheung</t>
  </si>
  <si>
    <t xml:space="preserve">Cheung, Carlos </t>
  </si>
  <si>
    <t>1154</t>
  </si>
  <si>
    <t>Judith Collins</t>
  </si>
  <si>
    <t>Collins, Judith</t>
  </si>
  <si>
    <t>1181</t>
  </si>
  <si>
    <t>Tim Costley</t>
  </si>
  <si>
    <t xml:space="preserve">Costley, Tim </t>
  </si>
  <si>
    <t>1225</t>
  </si>
  <si>
    <t>Matt Doocey</t>
  </si>
  <si>
    <t xml:space="preserve">Doocey, Matt </t>
  </si>
  <si>
    <t>1288</t>
  </si>
  <si>
    <t>Greg Fleming</t>
  </si>
  <si>
    <t xml:space="preserve">Fleming, Greg </t>
  </si>
  <si>
    <t>1309</t>
  </si>
  <si>
    <t>Paulo Garcia</t>
  </si>
  <si>
    <t>Garcia, Paulo</t>
  </si>
  <si>
    <t>1335</t>
  </si>
  <si>
    <t>Paul Goldsmith</t>
  </si>
  <si>
    <t xml:space="preserve">Goldsmith, Paul </t>
  </si>
  <si>
    <t>1360</t>
  </si>
  <si>
    <t>Nicola Grigg</t>
  </si>
  <si>
    <t xml:space="preserve">Grigg, Nicola </t>
  </si>
  <si>
    <t>1365</t>
  </si>
  <si>
    <t>Ryan Hamilton</t>
  </si>
  <si>
    <t>Hamilton, Ryan</t>
  </si>
  <si>
    <t>1470</t>
  </si>
  <si>
    <t>Dana Kirkpatrick</t>
  </si>
  <si>
    <t xml:space="preserve">Kirkpatrick, Dana </t>
  </si>
  <si>
    <t>1475</t>
  </si>
  <si>
    <t>Barbara Kuriger</t>
  </si>
  <si>
    <t xml:space="preserve">Kuriger, Barbara (1) (2) </t>
  </si>
  <si>
    <t>1499</t>
  </si>
  <si>
    <t>Melissa Lee</t>
  </si>
  <si>
    <t>Lee, Melissa</t>
  </si>
  <si>
    <t>1514</t>
  </si>
  <si>
    <t>Christopher Luxon</t>
  </si>
  <si>
    <t>Luxon, Christopher</t>
  </si>
  <si>
    <t>1517</t>
  </si>
  <si>
    <t>Nancy Lu</t>
  </si>
  <si>
    <t>Lu, Nancy</t>
  </si>
  <si>
    <t>1523</t>
  </si>
  <si>
    <t>Todd McClay</t>
  </si>
  <si>
    <t xml:space="preserve">McClay, Todd </t>
  </si>
  <si>
    <t>1524</t>
  </si>
  <si>
    <t>Grant McCallum</t>
  </si>
  <si>
    <t>1559</t>
  </si>
  <si>
    <t>David MacLeod</t>
  </si>
  <si>
    <t xml:space="preserve">MacLeod, David </t>
  </si>
  <si>
    <t>1613</t>
  </si>
  <si>
    <t>James Meager</t>
  </si>
  <si>
    <t>Meager, James</t>
  </si>
  <si>
    <t>1627</t>
  </si>
  <si>
    <t>Mark Mitchell</t>
  </si>
  <si>
    <t xml:space="preserve">Mitchell, Mark </t>
  </si>
  <si>
    <t>1630</t>
  </si>
  <si>
    <t>Joseph Mooney</t>
  </si>
  <si>
    <t xml:space="preserve">Mooney, Joseph </t>
  </si>
  <si>
    <t>1652</t>
  </si>
  <si>
    <t>Rima Nakhle</t>
  </si>
  <si>
    <t>Nakhle, Rima</t>
  </si>
  <si>
    <t>1654</t>
  </si>
  <si>
    <t>Katie Nimon</t>
  </si>
  <si>
    <t xml:space="preserve">Nimon, Katie </t>
  </si>
  <si>
    <t>1690</t>
  </si>
  <si>
    <t>Tama Potaka</t>
  </si>
  <si>
    <t xml:space="preserve">Potaka, Tama </t>
  </si>
  <si>
    <t>1699</t>
  </si>
  <si>
    <t>Maureen Pugh</t>
  </si>
  <si>
    <t xml:space="preserve">Pugh, Maureen </t>
  </si>
  <si>
    <t>1702</t>
  </si>
  <si>
    <t>Chris Penk</t>
  </si>
  <si>
    <t xml:space="preserve">Penk, Chris </t>
  </si>
  <si>
    <t>1709</t>
  </si>
  <si>
    <t>Shane Reti</t>
  </si>
  <si>
    <t xml:space="preserve">Reti, Shane </t>
  </si>
  <si>
    <t>1710</t>
  </si>
  <si>
    <t>Suze Redmayne</t>
  </si>
  <si>
    <t>Redmayne, Suze</t>
  </si>
  <si>
    <t>1749</t>
  </si>
  <si>
    <t>Tom Rutherford</t>
  </si>
  <si>
    <t xml:space="preserve">Rutherford, Tom </t>
  </si>
  <si>
    <t>1790</t>
  </si>
  <si>
    <t>Penny Simmonds</t>
  </si>
  <si>
    <t xml:space="preserve">Simmonds, Penny </t>
  </si>
  <si>
    <t>1797</t>
  </si>
  <si>
    <t>Stuart Smith</t>
  </si>
  <si>
    <t xml:space="preserve">Smith, Stuart </t>
  </si>
  <si>
    <t>1803</t>
  </si>
  <si>
    <t>Scott Simpson</t>
  </si>
  <si>
    <t>Simpson, Scott</t>
  </si>
  <si>
    <t>1807</t>
  </si>
  <si>
    <t>Erica Stanford</t>
  </si>
  <si>
    <t xml:space="preserve">Stanford, Erica </t>
  </si>
  <si>
    <t>1881</t>
  </si>
  <si>
    <t>Sam Uffindell</t>
  </si>
  <si>
    <t>Uffindell, Sam</t>
  </si>
  <si>
    <t>1883</t>
  </si>
  <si>
    <t>Louise Upston</t>
  </si>
  <si>
    <t xml:space="preserve">Upston, Louise </t>
  </si>
  <si>
    <t>1890</t>
  </si>
  <si>
    <t>Tim van de Molen</t>
  </si>
  <si>
    <t>van de Molen, Tim</t>
  </si>
  <si>
    <t>1911</t>
  </si>
  <si>
    <t>Simon Watts</t>
  </si>
  <si>
    <t xml:space="preserve">Watts, Simon </t>
  </si>
  <si>
    <t>1914</t>
  </si>
  <si>
    <t>Catherine Wedd</t>
  </si>
  <si>
    <t xml:space="preserve">Wedd, Catherine </t>
  </si>
  <si>
    <t>1889</t>
  </si>
  <si>
    <t>Vanessa Weenink</t>
  </si>
  <si>
    <t xml:space="preserve">Weenink, Vanessa </t>
  </si>
  <si>
    <t>1926</t>
  </si>
  <si>
    <t>Nicola Willis</t>
  </si>
  <si>
    <t xml:space="preserve">Willis, Nicola </t>
  </si>
  <si>
    <t>National Total</t>
  </si>
  <si>
    <t>1036</t>
  </si>
  <si>
    <t>Jamie Arbuckle</t>
  </si>
  <si>
    <t>NZ First</t>
  </si>
  <si>
    <t>1176</t>
  </si>
  <si>
    <t>Casey Costello</t>
  </si>
  <si>
    <t xml:space="preserve">Costello, Casey </t>
  </si>
  <si>
    <t>1293</t>
  </si>
  <si>
    <t>Andy Foster</t>
  </si>
  <si>
    <t>Foster, Andy</t>
  </si>
  <si>
    <t>1427</t>
  </si>
  <si>
    <t>Shane Jones</t>
  </si>
  <si>
    <t xml:space="preserve">Jones, Shane </t>
  </si>
  <si>
    <t>1583</t>
  </si>
  <si>
    <t>Jenny Marcroft</t>
  </si>
  <si>
    <t xml:space="preserve">Marcroft, Jenny </t>
  </si>
  <si>
    <t>1704</t>
  </si>
  <si>
    <t>Mark Patterson</t>
  </si>
  <si>
    <t xml:space="preserve">Patterson, Mark </t>
  </si>
  <si>
    <t>1684</t>
  </si>
  <si>
    <t>Winston Peters</t>
  </si>
  <si>
    <t xml:space="preserve">Peters, Winston </t>
  </si>
  <si>
    <t>1882</t>
  </si>
  <si>
    <t>Tanya Unkovich</t>
  </si>
  <si>
    <t>Wilson, David</t>
  </si>
  <si>
    <t>NZ First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</si>
  <si>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</si>
  <si>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</si>
  <si>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</si>
  <si>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Domestic travel total includes costs that relate to a previous quarter and processed in the current quarter.</t>
  </si>
  <si>
    <t>5) VIP Transport total includes costs that relate to a previous quarter and processed in the current quarter.</t>
  </si>
  <si>
    <t>Members Expense Disclosure - October to December 2025</t>
  </si>
  <si>
    <t>Doyle, Benjamin (3)</t>
  </si>
  <si>
    <t>Tuiono,Teanau  (4)</t>
  </si>
  <si>
    <t>Henare, Peeni  (4)</t>
  </si>
  <si>
    <t>Hipkins, Chris (1)</t>
  </si>
  <si>
    <t>Luxton, Jo  (4)</t>
  </si>
  <si>
    <t>O'Connor, Damien</t>
  </si>
  <si>
    <t>Walters, Vanushi</t>
  </si>
  <si>
    <t>Ngarewa-Packer, Debbie</t>
  </si>
  <si>
    <t>Waititi, Rawiri</t>
  </si>
  <si>
    <t>Te Pāti Māori  Total</t>
  </si>
  <si>
    <t>McCallum, Grant (4)</t>
  </si>
  <si>
    <t>Arbuckle, Jamie (4)</t>
  </si>
  <si>
    <t>Unkovich, Tanya (4)</t>
  </si>
  <si>
    <t>Parmar, Parmjeet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</si>
</sst>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_-* #,##0_-;\(#,##0\);_-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0" fillId="2" borderId="0" xfId="0" applyFill="1"/>
    <xf numFmtId="0" fontId="4" fillId="2" borderId="0" xfId="2" applyFont="1" applyFill="1"/>
    <xf numFmtId="0" fontId="2" fillId="2" borderId="0" xfId="2" applyFill="1"/>
    <xf numFmtId="164" fontId="4" fillId="2" borderId="9" xfId="1" applyNumberFormat="1" applyFont="1" applyFill="1" applyBorder="1" applyAlignment="1">
      <alignment horizontal="center"/>
    </xf>
    <xf numFmtId="164" fontId="4" fillId="2" borderId="9" xfId="1" applyNumberFormat="1" applyFont="1" applyFill="1" applyBorder="1" applyAlignment="1">
      <alignment horizontal="center" wrapText="1"/>
    </xf>
    <xf numFmtId="164" fontId="4" fillId="2" borderId="11" xfId="1" applyNumberFormat="1" applyFont="1" applyFill="1" applyBorder="1"/>
    <xf numFmtId="164" fontId="2" fillId="2" borderId="12" xfId="1" applyNumberFormat="1" applyFont="1" applyFill="1" applyBorder="1"/>
    <xf numFmtId="164" fontId="4" fillId="2" borderId="13" xfId="1" applyNumberFormat="1" applyFont="1" applyFill="1" applyBorder="1" applyAlignment="1">
      <alignment horizontal="right"/>
    </xf>
    <xf numFmtId="164" fontId="4" fillId="2" borderId="14" xfId="1" applyNumberFormat="1" applyFont="1" applyFill="1" applyBorder="1" applyAlignment="1">
      <alignment horizontal="right"/>
    </xf>
    <xf numFmtId="164" fontId="4" fillId="2" borderId="15" xfId="1" applyNumberFormat="1" applyFont="1" applyFill="1" applyBorder="1" applyAlignment="1">
      <alignment vertical="center"/>
    </xf>
    <xf numFmtId="164" fontId="2" fillId="2" borderId="16" xfId="1" applyNumberFormat="1" applyFont="1" applyFill="1" applyBorder="1"/>
    <xf numFmtId="165" fontId="2" fillId="2" borderId="0" xfId="2" applyNumberFormat="1" applyFill="1"/>
    <xf numFmtId="166" fontId="2" fillId="2" borderId="17" xfId="2" applyNumberFormat="1" applyFill="1" applyBorder="1"/>
    <xf numFmtId="164" fontId="4" fillId="2" borderId="12" xfId="1" applyNumberFormat="1" applyFont="1" applyFill="1" applyBorder="1"/>
    <xf numFmtId="0" fontId="0" fillId="2" borderId="18" xfId="0" applyFill="1" applyBorder="1"/>
    <xf numFmtId="164" fontId="4" fillId="2" borderId="15" xfId="1" applyNumberFormat="1" applyFont="1" applyFill="1" applyBorder="1"/>
    <xf numFmtId="164" fontId="2" fillId="2" borderId="15" xfId="1" applyNumberFormat="1" applyFont="1" applyFill="1" applyBorder="1"/>
    <xf numFmtId="0" fontId="0" fillId="2" borderId="18" xfId="0" quotePrefix="1" applyFill="1" applyBorder="1"/>
    <xf numFmtId="0" fontId="0" fillId="2" borderId="19" xfId="0" applyFill="1" applyBorder="1"/>
    <xf numFmtId="164" fontId="4" fillId="2" borderId="0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0" fontId="0" fillId="2" borderId="0" xfId="0" applyFill="1" applyAlignment="1">
      <alignment horizontal="justify" vertical="top" wrapText="1"/>
    </xf>
    <xf numFmtId="0" fontId="0" fillId="2" borderId="0" xfId="0" applyFill="1" applyAlignment="1">
      <alignment horizontal="justify" vertical="top" wrapText="1"/>
    </xf>
    <xf numFmtId="164" fontId="4" fillId="2" borderId="6" xfId="1" applyNumberFormat="1" applyFont="1" applyFill="1" applyBorder="1" applyAlignment="1">
      <alignment horizontal="center" vertical="center" wrapText="1"/>
    </xf>
    <xf numFmtId="164" fontId="4" fillId="2" borderId="10" xfId="1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64" fontId="4" fillId="2" borderId="5" xfId="1" applyNumberFormat="1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7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4D81A6-251C-412F-ADE6-DCCC6C6A49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Finance/03%20Reporting/3.2%20Reporting%20-%20PC/Members'%20Expense%20Disclosure/FY%202020-21/3rd%20Quarter/Mar%2021%20Disclosur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Finance/03%20Reporting/3.2%20Reporting%20-%20PC/Members'%20Expense%20Disclosure/FY%202020-21/3rd%20Quarter/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055 - Chris Baillie</v>
          </cell>
          <cell r="B4">
            <v>6007.46</v>
          </cell>
          <cell r="C4" t="str">
            <v>023 - Ginny Andersen</v>
          </cell>
          <cell r="D4">
            <v>946.96</v>
          </cell>
          <cell r="E4" t="str">
            <v>055 - Chris Baillie</v>
          </cell>
          <cell r="F4">
            <v>1589.46</v>
          </cell>
          <cell r="G4" t="str">
            <v>023 - Ginny Andersen</v>
          </cell>
          <cell r="H4">
            <v>504.5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F01F-7C81-4282-894A-B6E35623CE11}">
  <sheetPr>
    <outlinePr showOutlineSymbols="0"/>
    <pageSetUpPr fitToPage="1"/>
  </sheetPr>
  <dimension ref="A1:L145"/>
  <sheetViews>
    <sheetView tabSelected="1" showOutlineSymbols="0" topLeftCell="C1" zoomScale="85" zoomScaleNormal="85" workbookViewId="0">
      <pane ySplit="4" topLeftCell="A107" activePane="bottomLeft" state="frozen"/>
      <selection activeCell="B1" sqref="B1"/>
      <selection pane="bottomLeft" activeCell="D143" sqref="D143"/>
    </sheetView>
  </sheetViews>
  <sheetFormatPr defaultColWidth="9.26953125" defaultRowHeight="14.5" outlineLevelCol="7" x14ac:dyDescent="0.35"/>
  <cols>
    <col min="1" max="1" width="16" style="1" hidden="1" customWidth="1" outlineLevel="7"/>
    <col min="2" max="2" width="27.26953125" style="1" hidden="1" customWidth="1" outlineLevel="7"/>
    <col min="3" max="3" width="2.54296875" style="1" customWidth="1" outlineLevel="7"/>
    <col min="4" max="4" width="21.7265625" style="1" customWidth="1"/>
    <col min="5" max="5" width="32.453125" style="1" customWidth="1"/>
    <col min="6" max="6" width="11.26953125" style="1" bestFit="1" customWidth="1"/>
    <col min="7" max="7" width="12.54296875" style="1" customWidth="1"/>
    <col min="8" max="8" width="12.7265625" style="1" bestFit="1" customWidth="1"/>
    <col min="9" max="9" width="10.453125" style="1" bestFit="1" customWidth="1"/>
    <col min="10" max="10" width="14.26953125" style="1" bestFit="1" customWidth="1"/>
    <col min="11" max="11" width="11.54296875" style="1" bestFit="1" customWidth="1"/>
    <col min="12" max="12" width="21.54296875" style="1" customWidth="1"/>
    <col min="13" max="16384" width="9.26953125" style="1"/>
  </cols>
  <sheetData>
    <row r="1" spans="1:12" x14ac:dyDescent="0.35">
      <c r="D1" s="31" t="s">
        <v>382</v>
      </c>
      <c r="E1" s="31"/>
      <c r="F1" s="31"/>
      <c r="G1" s="31"/>
      <c r="H1" s="31"/>
      <c r="I1" s="31"/>
      <c r="J1" s="31"/>
      <c r="K1" s="31"/>
    </row>
    <row r="2" spans="1:12" ht="15" thickBot="1" x14ac:dyDescent="0.4">
      <c r="D2" s="2"/>
      <c r="E2" s="3"/>
      <c r="F2" s="3"/>
      <c r="G2" s="3"/>
      <c r="H2" s="3"/>
      <c r="I2" s="3"/>
      <c r="J2" s="3"/>
      <c r="K2" s="3"/>
      <c r="L2" s="3"/>
    </row>
    <row r="3" spans="1:12" ht="15" customHeight="1" x14ac:dyDescent="0.35">
      <c r="D3" s="32" t="s">
        <v>0</v>
      </c>
      <c r="E3" s="26" t="s">
        <v>1</v>
      </c>
      <c r="F3" s="28" t="s">
        <v>2</v>
      </c>
      <c r="G3" s="29"/>
      <c r="H3" s="29" t="s">
        <v>3</v>
      </c>
      <c r="I3" s="29"/>
      <c r="J3" s="30"/>
      <c r="K3" s="24" t="s">
        <v>4</v>
      </c>
      <c r="L3" s="24" t="s">
        <v>5</v>
      </c>
    </row>
    <row r="4" spans="1:12" ht="27" thickBot="1" x14ac:dyDescent="0.4">
      <c r="A4" s="1" t="s">
        <v>6</v>
      </c>
      <c r="B4" s="1" t="s">
        <v>7</v>
      </c>
      <c r="D4" s="33"/>
      <c r="E4" s="27"/>
      <c r="F4" s="4" t="s">
        <v>8</v>
      </c>
      <c r="G4" s="5" t="s">
        <v>9</v>
      </c>
      <c r="H4" s="4" t="s">
        <v>10</v>
      </c>
      <c r="I4" s="4" t="s">
        <v>11</v>
      </c>
      <c r="J4" s="4" t="s">
        <v>12</v>
      </c>
      <c r="K4" s="25" t="s">
        <v>4</v>
      </c>
      <c r="L4" s="25" t="s">
        <v>4</v>
      </c>
    </row>
    <row r="5" spans="1:12" ht="15" thickBot="1" x14ac:dyDescent="0.4">
      <c r="D5" s="6" t="s">
        <v>13</v>
      </c>
      <c r="E5" s="7" t="s">
        <v>14</v>
      </c>
      <c r="F5" s="8">
        <v>2821.62</v>
      </c>
      <c r="G5" s="8">
        <v>6091.65</v>
      </c>
      <c r="H5" s="8">
        <v>0</v>
      </c>
      <c r="I5" s="8">
        <v>33860.11</v>
      </c>
      <c r="J5" s="8">
        <v>0</v>
      </c>
      <c r="K5" s="9">
        <v>42773.380000000005</v>
      </c>
      <c r="L5" s="9">
        <v>0</v>
      </c>
    </row>
    <row r="6" spans="1:12" ht="15" thickBot="1" x14ac:dyDescent="0.4">
      <c r="D6" s="6" t="s">
        <v>13</v>
      </c>
      <c r="E6" s="7" t="s">
        <v>15</v>
      </c>
      <c r="F6" s="8">
        <v>9800</v>
      </c>
      <c r="G6" s="8">
        <v>6352.57</v>
      </c>
      <c r="H6" s="8">
        <v>0</v>
      </c>
      <c r="I6" s="8">
        <v>23780.67</v>
      </c>
      <c r="J6" s="8">
        <v>0</v>
      </c>
      <c r="K6" s="9">
        <v>39933.24</v>
      </c>
      <c r="L6" s="9">
        <v>0</v>
      </c>
    </row>
    <row r="7" spans="1:12" x14ac:dyDescent="0.35">
      <c r="A7" s="1" t="s">
        <v>16</v>
      </c>
      <c r="B7" s="1" t="s">
        <v>17</v>
      </c>
      <c r="D7" s="10" t="s">
        <v>18</v>
      </c>
      <c r="E7" s="11" t="s">
        <v>19</v>
      </c>
      <c r="F7" s="12">
        <v>9800</v>
      </c>
      <c r="G7" s="12">
        <v>0</v>
      </c>
      <c r="H7" s="12">
        <v>0</v>
      </c>
      <c r="I7" s="12">
        <v>2597.81</v>
      </c>
      <c r="J7" s="12">
        <v>0</v>
      </c>
      <c r="K7" s="13">
        <v>12397.81</v>
      </c>
      <c r="L7" s="13">
        <v>0</v>
      </c>
    </row>
    <row r="8" spans="1:12" x14ac:dyDescent="0.35">
      <c r="A8" s="1" t="s">
        <v>20</v>
      </c>
      <c r="B8" s="1" t="s">
        <v>21</v>
      </c>
      <c r="D8" s="10"/>
      <c r="E8" s="11" t="s">
        <v>22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v>0</v>
      </c>
      <c r="L8" s="13">
        <v>0</v>
      </c>
    </row>
    <row r="9" spans="1:12" x14ac:dyDescent="0.35">
      <c r="A9" s="1" t="s">
        <v>23</v>
      </c>
      <c r="B9" s="1" t="s">
        <v>24</v>
      </c>
      <c r="D9" s="10"/>
      <c r="E9" s="11" t="s">
        <v>25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v>0</v>
      </c>
      <c r="L9" s="13">
        <v>0</v>
      </c>
    </row>
    <row r="10" spans="1:12" x14ac:dyDescent="0.35">
      <c r="A10" s="1" t="s">
        <v>26</v>
      </c>
      <c r="B10" s="1" t="s">
        <v>27</v>
      </c>
      <c r="D10" s="10"/>
      <c r="E10" s="11" t="s">
        <v>28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v>0</v>
      </c>
      <c r="L10" s="13">
        <v>0</v>
      </c>
    </row>
    <row r="11" spans="1:12" x14ac:dyDescent="0.35">
      <c r="A11" s="1" t="s">
        <v>29</v>
      </c>
      <c r="B11" s="1" t="s">
        <v>30</v>
      </c>
      <c r="D11" s="10"/>
      <c r="E11" s="11" t="s">
        <v>31</v>
      </c>
      <c r="F11" s="12">
        <v>8130.27</v>
      </c>
      <c r="G11" s="12">
        <v>2398.4900000000002</v>
      </c>
      <c r="H11" s="12">
        <v>0</v>
      </c>
      <c r="I11" s="12">
        <v>13427.4</v>
      </c>
      <c r="J11" s="12">
        <v>0</v>
      </c>
      <c r="K11" s="13">
        <v>23956.16</v>
      </c>
      <c r="L11" s="13">
        <v>0</v>
      </c>
    </row>
    <row r="12" spans="1:12" x14ac:dyDescent="0.35">
      <c r="A12" s="1" t="s">
        <v>32</v>
      </c>
      <c r="B12" s="1" t="s">
        <v>33</v>
      </c>
      <c r="D12" s="10"/>
      <c r="E12" s="11" t="s">
        <v>34</v>
      </c>
      <c r="F12" s="12">
        <v>9800</v>
      </c>
      <c r="G12" s="12">
        <v>1380.21</v>
      </c>
      <c r="H12" s="12">
        <v>0</v>
      </c>
      <c r="I12" s="12">
        <v>12983.36</v>
      </c>
      <c r="J12" s="12">
        <v>0</v>
      </c>
      <c r="K12" s="13">
        <v>24163.57</v>
      </c>
      <c r="L12" s="13">
        <v>0</v>
      </c>
    </row>
    <row r="13" spans="1:12" x14ac:dyDescent="0.35">
      <c r="A13" s="1" t="s">
        <v>35</v>
      </c>
      <c r="B13" s="1" t="s">
        <v>36</v>
      </c>
      <c r="D13" s="10"/>
      <c r="E13" s="11" t="s">
        <v>37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3">
        <v>0</v>
      </c>
      <c r="L13" s="13">
        <v>0</v>
      </c>
    </row>
    <row r="14" spans="1:12" x14ac:dyDescent="0.35">
      <c r="A14" s="1" t="s">
        <v>38</v>
      </c>
      <c r="B14" s="1" t="s">
        <v>39</v>
      </c>
      <c r="D14" s="10"/>
      <c r="E14" s="11" t="s">
        <v>396</v>
      </c>
      <c r="F14" s="12">
        <v>-19174.259999999998</v>
      </c>
      <c r="G14" s="12">
        <v>342.09</v>
      </c>
      <c r="H14" s="12">
        <v>0</v>
      </c>
      <c r="I14" s="12">
        <v>20002.419999999998</v>
      </c>
      <c r="J14" s="12">
        <v>0</v>
      </c>
      <c r="K14" s="13">
        <v>1170.25</v>
      </c>
      <c r="L14" s="13">
        <v>0</v>
      </c>
    </row>
    <row r="15" spans="1:12" x14ac:dyDescent="0.35">
      <c r="A15" s="1" t="s">
        <v>40</v>
      </c>
      <c r="B15" s="1" t="s">
        <v>41</v>
      </c>
      <c r="D15" s="10"/>
      <c r="E15" s="11" t="s">
        <v>42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3">
        <v>0</v>
      </c>
      <c r="L15" s="13">
        <v>0</v>
      </c>
    </row>
    <row r="16" spans="1:12" x14ac:dyDescent="0.35">
      <c r="A16" s="1" t="s">
        <v>43</v>
      </c>
      <c r="B16" s="1" t="s">
        <v>44</v>
      </c>
      <c r="D16" s="10"/>
      <c r="E16" s="11" t="s">
        <v>45</v>
      </c>
      <c r="F16" s="12">
        <v>9800</v>
      </c>
      <c r="G16" s="12">
        <v>1737.56</v>
      </c>
      <c r="H16" s="12">
        <v>0</v>
      </c>
      <c r="I16" s="12">
        <v>9996.2900000000009</v>
      </c>
      <c r="J16" s="12">
        <v>0</v>
      </c>
      <c r="K16" s="13">
        <v>21533.85</v>
      </c>
      <c r="L16" s="13">
        <v>0</v>
      </c>
    </row>
    <row r="17" spans="1:12" ht="15" thickBot="1" x14ac:dyDescent="0.4">
      <c r="A17" s="1" t="s">
        <v>46</v>
      </c>
      <c r="B17" s="1" t="s">
        <v>47</v>
      </c>
      <c r="D17" s="10"/>
      <c r="E17" s="11" t="s">
        <v>48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3">
        <v>0</v>
      </c>
      <c r="L17" s="13">
        <v>0</v>
      </c>
    </row>
    <row r="18" spans="1:12" ht="15" thickBot="1" x14ac:dyDescent="0.4">
      <c r="D18" s="6" t="s">
        <v>49</v>
      </c>
      <c r="E18" s="14"/>
      <c r="F18" s="8">
        <v>18356.010000000002</v>
      </c>
      <c r="G18" s="8">
        <v>5858.35</v>
      </c>
      <c r="H18" s="8">
        <v>0</v>
      </c>
      <c r="I18" s="8">
        <v>59007.28</v>
      </c>
      <c r="J18" s="8">
        <v>0</v>
      </c>
      <c r="K18" s="9">
        <v>83221.64</v>
      </c>
      <c r="L18" s="9">
        <f>SUM(L7:L17)</f>
        <v>0</v>
      </c>
    </row>
    <row r="19" spans="1:12" x14ac:dyDescent="0.35">
      <c r="A19" s="15" t="s">
        <v>50</v>
      </c>
      <c r="B19" s="1" t="s">
        <v>51</v>
      </c>
      <c r="D19" s="16" t="s">
        <v>52</v>
      </c>
      <c r="E19" s="11" t="s">
        <v>53</v>
      </c>
      <c r="F19" s="12">
        <v>9800</v>
      </c>
      <c r="G19" s="12">
        <v>1216.74</v>
      </c>
      <c r="H19" s="12">
        <v>0</v>
      </c>
      <c r="I19" s="12">
        <v>12330.3</v>
      </c>
      <c r="J19" s="12">
        <v>0</v>
      </c>
      <c r="K19" s="13">
        <v>23347.040000000001</v>
      </c>
      <c r="L19" s="13">
        <v>0</v>
      </c>
    </row>
    <row r="20" spans="1:12" x14ac:dyDescent="0.35">
      <c r="A20" s="15" t="s">
        <v>54</v>
      </c>
      <c r="B20" s="1" t="s">
        <v>55</v>
      </c>
      <c r="D20" s="17"/>
      <c r="E20" s="11" t="s">
        <v>56</v>
      </c>
      <c r="F20" s="12">
        <v>9800</v>
      </c>
      <c r="G20" s="12">
        <v>1083.9000000000001</v>
      </c>
      <c r="H20" s="12">
        <v>0</v>
      </c>
      <c r="I20" s="12">
        <v>9967.3799999999992</v>
      </c>
      <c r="J20" s="12">
        <v>0</v>
      </c>
      <c r="K20" s="13">
        <v>20851.28</v>
      </c>
      <c r="L20" s="13">
        <v>0</v>
      </c>
    </row>
    <row r="21" spans="1:12" x14ac:dyDescent="0.35">
      <c r="A21" s="15" t="s">
        <v>57</v>
      </c>
      <c r="B21" s="1" t="s">
        <v>58</v>
      </c>
      <c r="D21" s="17"/>
      <c r="E21" s="11" t="s">
        <v>59</v>
      </c>
      <c r="F21" s="12">
        <v>7380</v>
      </c>
      <c r="G21" s="12">
        <v>1661.34</v>
      </c>
      <c r="H21" s="12">
        <v>8154.4750000000004</v>
      </c>
      <c r="I21" s="12">
        <v>18021.91</v>
      </c>
      <c r="J21" s="12">
        <v>0</v>
      </c>
      <c r="K21" s="13">
        <v>35217.725000000006</v>
      </c>
      <c r="L21" s="13">
        <v>0</v>
      </c>
    </row>
    <row r="22" spans="1:12" x14ac:dyDescent="0.35">
      <c r="A22" s="15"/>
      <c r="D22" s="17"/>
      <c r="E22" s="11" t="s">
        <v>60</v>
      </c>
      <c r="F22" s="12">
        <v>7796.71</v>
      </c>
      <c r="G22" s="12">
        <v>572.35</v>
      </c>
      <c r="H22" s="12">
        <v>0</v>
      </c>
      <c r="I22" s="12">
        <v>6860.83</v>
      </c>
      <c r="J22" s="12">
        <v>0</v>
      </c>
      <c r="K22" s="13">
        <v>15229.89</v>
      </c>
      <c r="L22" s="13">
        <v>0</v>
      </c>
    </row>
    <row r="23" spans="1:12" x14ac:dyDescent="0.35">
      <c r="A23" s="18" t="s">
        <v>61</v>
      </c>
      <c r="B23" s="1" t="s">
        <v>62</v>
      </c>
      <c r="D23" s="17"/>
      <c r="E23" s="11" t="s">
        <v>383</v>
      </c>
      <c r="F23" s="12">
        <v>8300</v>
      </c>
      <c r="G23" s="12">
        <v>0</v>
      </c>
      <c r="H23" s="12">
        <v>0</v>
      </c>
      <c r="I23" s="12">
        <v>2681.51</v>
      </c>
      <c r="J23" s="12">
        <v>0</v>
      </c>
      <c r="K23" s="13">
        <v>10981.51</v>
      </c>
      <c r="L23" s="13">
        <v>0</v>
      </c>
    </row>
    <row r="24" spans="1:12" x14ac:dyDescent="0.35">
      <c r="A24" s="15" t="s">
        <v>63</v>
      </c>
      <c r="B24" s="1" t="s">
        <v>64</v>
      </c>
      <c r="D24" s="17"/>
      <c r="E24" s="11" t="s">
        <v>65</v>
      </c>
      <c r="F24" s="12">
        <v>0</v>
      </c>
      <c r="G24" s="12">
        <v>0</v>
      </c>
      <c r="H24" s="12">
        <v>0</v>
      </c>
      <c r="I24" s="12">
        <v>4827.43</v>
      </c>
      <c r="J24" s="12">
        <v>0</v>
      </c>
      <c r="K24" s="13">
        <v>4827.43</v>
      </c>
      <c r="L24" s="13">
        <v>0</v>
      </c>
    </row>
    <row r="25" spans="1:12" x14ac:dyDescent="0.35">
      <c r="A25" s="15" t="s">
        <v>66</v>
      </c>
      <c r="B25" s="1" t="s">
        <v>67</v>
      </c>
      <c r="D25" s="17"/>
      <c r="E25" s="11" t="s">
        <v>68</v>
      </c>
      <c r="F25" s="12">
        <v>9800</v>
      </c>
      <c r="G25" s="12">
        <v>4582.1099999999997</v>
      </c>
      <c r="H25" s="12">
        <v>6290.4400000000005</v>
      </c>
      <c r="I25" s="12">
        <v>8912.2000000000007</v>
      </c>
      <c r="J25" s="12">
        <v>0</v>
      </c>
      <c r="K25" s="13">
        <v>29584.750000000004</v>
      </c>
      <c r="L25" s="13">
        <v>0</v>
      </c>
    </row>
    <row r="26" spans="1:12" x14ac:dyDescent="0.35">
      <c r="A26" s="15" t="s">
        <v>69</v>
      </c>
      <c r="B26" s="1" t="s">
        <v>70</v>
      </c>
      <c r="D26" s="17"/>
      <c r="E26" s="11" t="s">
        <v>71</v>
      </c>
      <c r="F26" s="12">
        <v>5880</v>
      </c>
      <c r="G26" s="12">
        <v>2853.77</v>
      </c>
      <c r="H26" s="12">
        <v>0</v>
      </c>
      <c r="I26" s="12">
        <v>23165.34</v>
      </c>
      <c r="J26" s="12">
        <v>0</v>
      </c>
      <c r="K26" s="13">
        <v>31899.11</v>
      </c>
      <c r="L26" s="13">
        <v>0</v>
      </c>
    </row>
    <row r="27" spans="1:12" x14ac:dyDescent="0.35">
      <c r="A27" s="15" t="s">
        <v>72</v>
      </c>
      <c r="B27" s="1" t="s">
        <v>73</v>
      </c>
      <c r="D27" s="17"/>
      <c r="E27" s="11" t="s">
        <v>74</v>
      </c>
      <c r="F27" s="12">
        <v>9800</v>
      </c>
      <c r="G27" s="12">
        <v>679.42</v>
      </c>
      <c r="H27" s="12">
        <v>0</v>
      </c>
      <c r="I27" s="12">
        <v>11899.5</v>
      </c>
      <c r="J27" s="12">
        <v>0</v>
      </c>
      <c r="K27" s="13">
        <v>22378.92</v>
      </c>
      <c r="L27" s="13">
        <v>0</v>
      </c>
    </row>
    <row r="28" spans="1:12" x14ac:dyDescent="0.35">
      <c r="A28" s="15" t="s">
        <v>75</v>
      </c>
      <c r="B28" s="1" t="s">
        <v>76</v>
      </c>
      <c r="D28" s="17"/>
      <c r="E28" s="11" t="s">
        <v>77</v>
      </c>
      <c r="F28" s="12">
        <v>0</v>
      </c>
      <c r="G28" s="12">
        <v>6020.16</v>
      </c>
      <c r="H28" s="12">
        <v>0</v>
      </c>
      <c r="I28" s="12">
        <v>11274.69</v>
      </c>
      <c r="J28" s="12">
        <v>0</v>
      </c>
      <c r="K28" s="13">
        <v>17294.849999999999</v>
      </c>
      <c r="L28" s="13">
        <v>0</v>
      </c>
    </row>
    <row r="29" spans="1:12" x14ac:dyDescent="0.35">
      <c r="A29" s="15" t="s">
        <v>78</v>
      </c>
      <c r="B29" s="1" t="s">
        <v>79</v>
      </c>
      <c r="D29" s="17"/>
      <c r="E29" s="11" t="s">
        <v>80</v>
      </c>
      <c r="F29" s="12">
        <v>0</v>
      </c>
      <c r="G29" s="12">
        <v>574.35</v>
      </c>
      <c r="H29" s="12">
        <v>0</v>
      </c>
      <c r="I29" s="12">
        <v>1599.52</v>
      </c>
      <c r="J29" s="12">
        <v>0</v>
      </c>
      <c r="K29" s="13">
        <v>2173.87</v>
      </c>
      <c r="L29" s="13">
        <v>126.24</v>
      </c>
    </row>
    <row r="30" spans="1:12" x14ac:dyDescent="0.35">
      <c r="A30" s="15" t="s">
        <v>81</v>
      </c>
      <c r="B30" s="1" t="s">
        <v>82</v>
      </c>
      <c r="D30" s="17"/>
      <c r="E30" s="11" t="s">
        <v>83</v>
      </c>
      <c r="F30" s="12">
        <v>6860</v>
      </c>
      <c r="G30" s="12">
        <v>719.65</v>
      </c>
      <c r="H30" s="12">
        <v>3395.4399999999991</v>
      </c>
      <c r="I30" s="12">
        <v>12589.21</v>
      </c>
      <c r="J30" s="12">
        <v>0</v>
      </c>
      <c r="K30" s="13">
        <v>23564.299999999996</v>
      </c>
      <c r="L30" s="13">
        <v>0</v>
      </c>
    </row>
    <row r="31" spans="1:12" x14ac:dyDescent="0.35">
      <c r="A31" s="15" t="s">
        <v>84</v>
      </c>
      <c r="B31" s="1" t="s">
        <v>85</v>
      </c>
      <c r="D31" s="17"/>
      <c r="E31" s="11" t="s">
        <v>384</v>
      </c>
      <c r="F31" s="12">
        <v>9800</v>
      </c>
      <c r="G31" s="12">
        <v>566.37</v>
      </c>
      <c r="H31" s="12">
        <v>3563.6699999999996</v>
      </c>
      <c r="I31" s="12">
        <v>28676.45</v>
      </c>
      <c r="J31" s="12">
        <v>0</v>
      </c>
      <c r="K31" s="13">
        <v>42606.490000000005</v>
      </c>
      <c r="L31" s="13">
        <v>123.35</v>
      </c>
    </row>
    <row r="32" spans="1:12" x14ac:dyDescent="0.35">
      <c r="A32" s="15" t="s">
        <v>86</v>
      </c>
      <c r="B32" s="19" t="s">
        <v>87</v>
      </c>
      <c r="D32" s="17"/>
      <c r="E32" s="11" t="s">
        <v>88</v>
      </c>
      <c r="F32" s="12">
        <v>9800</v>
      </c>
      <c r="G32" s="12">
        <v>198.7</v>
      </c>
      <c r="H32" s="12">
        <v>0</v>
      </c>
      <c r="I32" s="12">
        <v>8835.17</v>
      </c>
      <c r="J32" s="12">
        <v>0</v>
      </c>
      <c r="K32" s="13">
        <v>18833.870000000003</v>
      </c>
      <c r="L32" s="13">
        <v>0</v>
      </c>
    </row>
    <row r="33" spans="1:12" x14ac:dyDescent="0.35">
      <c r="A33" s="15" t="s">
        <v>89</v>
      </c>
      <c r="B33" s="1" t="s">
        <v>90</v>
      </c>
      <c r="D33" s="17"/>
      <c r="E33" s="11" t="s">
        <v>91</v>
      </c>
      <c r="F33" s="12">
        <v>9800</v>
      </c>
      <c r="G33" s="12">
        <v>1695.52</v>
      </c>
      <c r="H33" s="12">
        <v>0</v>
      </c>
      <c r="I33" s="12">
        <v>18746.11</v>
      </c>
      <c r="J33" s="12">
        <v>0</v>
      </c>
      <c r="K33" s="13">
        <v>30241.63</v>
      </c>
      <c r="L33" s="13">
        <v>0</v>
      </c>
    </row>
    <row r="34" spans="1:12" ht="15" thickBot="1" x14ac:dyDescent="0.4">
      <c r="A34" s="15" t="s">
        <v>92</v>
      </c>
      <c r="B34" s="19" t="s">
        <v>93</v>
      </c>
      <c r="D34" s="17"/>
      <c r="E34" s="11" t="s">
        <v>94</v>
      </c>
      <c r="F34" s="12">
        <v>9800</v>
      </c>
      <c r="G34" s="12">
        <v>2383.67</v>
      </c>
      <c r="H34" s="12">
        <v>801.39</v>
      </c>
      <c r="I34" s="12">
        <v>12955.96</v>
      </c>
      <c r="J34" s="12">
        <v>0</v>
      </c>
      <c r="K34" s="13">
        <v>25941.019999999997</v>
      </c>
      <c r="L34" s="13">
        <v>3826.04</v>
      </c>
    </row>
    <row r="35" spans="1:12" ht="15" thickBot="1" x14ac:dyDescent="0.4">
      <c r="D35" s="6" t="s">
        <v>95</v>
      </c>
      <c r="E35" s="14"/>
      <c r="F35" s="8">
        <v>114616.70999999999</v>
      </c>
      <c r="G35" s="8">
        <v>24808.050000000003</v>
      </c>
      <c r="H35" s="8">
        <v>22205.414999999997</v>
      </c>
      <c r="I35" s="8">
        <v>193343.51000000004</v>
      </c>
      <c r="J35" s="8">
        <v>0</v>
      </c>
      <c r="K35" s="9">
        <v>354973.68500000006</v>
      </c>
      <c r="L35" s="9">
        <f>SUM(L19:L34)</f>
        <v>4075.63</v>
      </c>
    </row>
    <row r="36" spans="1:12" x14ac:dyDescent="0.35">
      <c r="A36" s="18" t="s">
        <v>96</v>
      </c>
      <c r="B36" s="1" t="s">
        <v>97</v>
      </c>
      <c r="D36" s="16" t="s">
        <v>98</v>
      </c>
      <c r="E36" s="11" t="s">
        <v>99</v>
      </c>
      <c r="F36" s="12">
        <v>0</v>
      </c>
      <c r="G36" s="12">
        <v>737.77</v>
      </c>
      <c r="H36" s="12">
        <v>0</v>
      </c>
      <c r="I36" s="12">
        <v>14292.55</v>
      </c>
      <c r="J36" s="12">
        <v>0</v>
      </c>
      <c r="K36" s="13">
        <v>15030.32</v>
      </c>
      <c r="L36" s="13">
        <v>-421.71</v>
      </c>
    </row>
    <row r="37" spans="1:12" x14ac:dyDescent="0.35">
      <c r="A37" s="15" t="s">
        <v>100</v>
      </c>
      <c r="B37" s="1" t="s">
        <v>101</v>
      </c>
      <c r="D37" s="17"/>
      <c r="E37" s="11" t="s">
        <v>102</v>
      </c>
      <c r="F37" s="12">
        <v>6860</v>
      </c>
      <c r="G37" s="12">
        <v>641.74</v>
      </c>
      <c r="H37" s="12">
        <v>0</v>
      </c>
      <c r="I37" s="12">
        <v>17463.84</v>
      </c>
      <c r="J37" s="12">
        <v>0</v>
      </c>
      <c r="K37" s="13">
        <v>24965.58</v>
      </c>
      <c r="L37" s="13">
        <v>0</v>
      </c>
    </row>
    <row r="38" spans="1:12" x14ac:dyDescent="0.35">
      <c r="A38" s="15" t="s">
        <v>103</v>
      </c>
      <c r="B38" s="1" t="s">
        <v>104</v>
      </c>
      <c r="D38" s="17"/>
      <c r="E38" s="11" t="s">
        <v>105</v>
      </c>
      <c r="F38" s="12">
        <v>9800</v>
      </c>
      <c r="G38" s="12">
        <v>2501.48</v>
      </c>
      <c r="H38" s="12">
        <v>0</v>
      </c>
      <c r="I38" s="12">
        <v>16086.76</v>
      </c>
      <c r="J38" s="12">
        <v>0</v>
      </c>
      <c r="K38" s="13">
        <v>28388.239999999998</v>
      </c>
      <c r="L38" s="13">
        <v>0</v>
      </c>
    </row>
    <row r="39" spans="1:12" x14ac:dyDescent="0.35">
      <c r="A39" s="15" t="s">
        <v>106</v>
      </c>
      <c r="B39" s="1" t="s">
        <v>107</v>
      </c>
      <c r="D39" s="17"/>
      <c r="E39" s="11" t="s">
        <v>108</v>
      </c>
      <c r="F39" s="12">
        <v>9800</v>
      </c>
      <c r="G39" s="12">
        <v>1819.35</v>
      </c>
      <c r="H39" s="12">
        <v>1086.46</v>
      </c>
      <c r="I39" s="12">
        <v>17006.5</v>
      </c>
      <c r="J39" s="12">
        <v>0</v>
      </c>
      <c r="K39" s="13">
        <v>29712.31</v>
      </c>
      <c r="L39" s="13">
        <v>0</v>
      </c>
    </row>
    <row r="40" spans="1:12" x14ac:dyDescent="0.35">
      <c r="A40" s="15" t="s">
        <v>109</v>
      </c>
      <c r="B40" s="1" t="s">
        <v>110</v>
      </c>
      <c r="D40" s="17"/>
      <c r="E40" s="11" t="s">
        <v>111</v>
      </c>
      <c r="F40" s="12">
        <v>1822.27</v>
      </c>
      <c r="G40" s="12">
        <v>1375.07</v>
      </c>
      <c r="H40" s="12">
        <v>219.08000000000004</v>
      </c>
      <c r="I40" s="12">
        <v>10855.07</v>
      </c>
      <c r="J40" s="12">
        <v>0</v>
      </c>
      <c r="K40" s="13">
        <v>14271.49</v>
      </c>
      <c r="L40" s="13">
        <v>0</v>
      </c>
    </row>
    <row r="41" spans="1:12" x14ac:dyDescent="0.35">
      <c r="A41" s="15" t="s">
        <v>112</v>
      </c>
      <c r="B41" s="1" t="s">
        <v>113</v>
      </c>
      <c r="D41" s="17"/>
      <c r="E41" s="11" t="s">
        <v>114</v>
      </c>
      <c r="F41" s="12">
        <v>9800</v>
      </c>
      <c r="G41" s="12">
        <v>3546.76</v>
      </c>
      <c r="H41" s="12">
        <v>0</v>
      </c>
      <c r="I41" s="12">
        <v>17885.87</v>
      </c>
      <c r="J41" s="12">
        <v>0</v>
      </c>
      <c r="K41" s="13">
        <v>31232.629999999997</v>
      </c>
      <c r="L41" s="13">
        <f>1410.75+340.31</f>
        <v>1751.06</v>
      </c>
    </row>
    <row r="42" spans="1:12" x14ac:dyDescent="0.35">
      <c r="A42" s="15" t="s">
        <v>115</v>
      </c>
      <c r="B42" s="1" t="s">
        <v>116</v>
      </c>
      <c r="D42" s="17"/>
      <c r="E42" s="11" t="s">
        <v>117</v>
      </c>
      <c r="F42" s="12">
        <v>0</v>
      </c>
      <c r="G42" s="12">
        <v>5447.43</v>
      </c>
      <c r="H42" s="12">
        <v>0</v>
      </c>
      <c r="I42" s="12">
        <v>21284.86</v>
      </c>
      <c r="J42" s="12">
        <v>0</v>
      </c>
      <c r="K42" s="13">
        <v>26732.29</v>
      </c>
      <c r="L42" s="13">
        <v>0</v>
      </c>
    </row>
    <row r="43" spans="1:12" x14ac:dyDescent="0.35">
      <c r="A43" s="15" t="s">
        <v>118</v>
      </c>
      <c r="B43" s="1" t="s">
        <v>119</v>
      </c>
      <c r="D43" s="17"/>
      <c r="E43" s="11" t="s">
        <v>120</v>
      </c>
      <c r="F43" s="12">
        <v>4336.3500000000004</v>
      </c>
      <c r="G43" s="12">
        <v>554.89</v>
      </c>
      <c r="H43" s="12">
        <v>0</v>
      </c>
      <c r="I43" s="12">
        <v>9380.49</v>
      </c>
      <c r="J43" s="12">
        <v>0</v>
      </c>
      <c r="K43" s="13">
        <v>14271.73</v>
      </c>
      <c r="L43" s="13">
        <v>0</v>
      </c>
    </row>
    <row r="44" spans="1:12" x14ac:dyDescent="0.35">
      <c r="A44" s="15" t="s">
        <v>121</v>
      </c>
      <c r="B44" s="1" t="s">
        <v>122</v>
      </c>
      <c r="D44" s="17"/>
      <c r="E44" s="11" t="s">
        <v>385</v>
      </c>
      <c r="F44" s="12">
        <v>9800</v>
      </c>
      <c r="G44" s="12">
        <v>811.2</v>
      </c>
      <c r="H44" s="12">
        <v>0</v>
      </c>
      <c r="I44" s="12">
        <v>22408.02</v>
      </c>
      <c r="J44" s="12">
        <v>0</v>
      </c>
      <c r="K44" s="13">
        <v>33019.22</v>
      </c>
      <c r="L44" s="13">
        <v>0</v>
      </c>
    </row>
    <row r="45" spans="1:12" x14ac:dyDescent="0.35">
      <c r="A45" s="15" t="s">
        <v>123</v>
      </c>
      <c r="B45" s="1" t="s">
        <v>124</v>
      </c>
      <c r="D45" s="17"/>
      <c r="E45" s="11" t="s">
        <v>386</v>
      </c>
      <c r="F45" s="12">
        <v>0</v>
      </c>
      <c r="G45" s="12">
        <v>1314.33</v>
      </c>
      <c r="H45" s="12">
        <v>0</v>
      </c>
      <c r="I45" s="12">
        <v>10113.129999999999</v>
      </c>
      <c r="J45" s="12">
        <v>6734.15</v>
      </c>
      <c r="K45" s="13">
        <v>18161.61</v>
      </c>
      <c r="L45" s="13">
        <v>0</v>
      </c>
    </row>
    <row r="46" spans="1:12" x14ac:dyDescent="0.35">
      <c r="A46" s="15" t="s">
        <v>125</v>
      </c>
      <c r="B46" s="1" t="s">
        <v>126</v>
      </c>
      <c r="D46" s="17"/>
      <c r="E46" s="11" t="s">
        <v>127</v>
      </c>
      <c r="F46" s="12">
        <v>9800</v>
      </c>
      <c r="G46" s="12">
        <v>334.35</v>
      </c>
      <c r="H46" s="12">
        <v>0</v>
      </c>
      <c r="I46" s="12">
        <v>11367.49</v>
      </c>
      <c r="J46" s="12">
        <v>0</v>
      </c>
      <c r="K46" s="13">
        <v>21501.84</v>
      </c>
      <c r="L46" s="13">
        <v>25151.86</v>
      </c>
    </row>
    <row r="47" spans="1:12" x14ac:dyDescent="0.35">
      <c r="A47" s="15" t="s">
        <v>128</v>
      </c>
      <c r="B47" s="1" t="s">
        <v>129</v>
      </c>
      <c r="D47" s="17"/>
      <c r="E47" s="11" t="s">
        <v>130</v>
      </c>
      <c r="F47" s="12">
        <v>9800</v>
      </c>
      <c r="G47" s="12">
        <v>682.78</v>
      </c>
      <c r="H47" s="12">
        <v>0</v>
      </c>
      <c r="I47" s="12">
        <v>14484.26</v>
      </c>
      <c r="J47" s="12">
        <v>0</v>
      </c>
      <c r="K47" s="13">
        <v>24967.040000000001</v>
      </c>
      <c r="L47" s="13">
        <v>0</v>
      </c>
    </row>
    <row r="48" spans="1:12" x14ac:dyDescent="0.35">
      <c r="A48" s="15" t="s">
        <v>131</v>
      </c>
      <c r="B48" s="1" t="s">
        <v>132</v>
      </c>
      <c r="D48" s="17"/>
      <c r="E48" s="11" t="s">
        <v>387</v>
      </c>
      <c r="F48" s="12">
        <v>9800</v>
      </c>
      <c r="G48" s="12">
        <v>2938.88</v>
      </c>
      <c r="H48" s="12">
        <v>0</v>
      </c>
      <c r="I48" s="12">
        <v>22686.98</v>
      </c>
      <c r="J48" s="12">
        <v>0</v>
      </c>
      <c r="K48" s="13">
        <v>35425.86</v>
      </c>
      <c r="L48" s="13">
        <v>0</v>
      </c>
    </row>
    <row r="49" spans="1:12" x14ac:dyDescent="0.35">
      <c r="A49" s="15" t="s">
        <v>133</v>
      </c>
      <c r="B49" s="1" t="s">
        <v>134</v>
      </c>
      <c r="D49" s="17"/>
      <c r="E49" s="11" t="s">
        <v>135</v>
      </c>
      <c r="F49" s="12">
        <v>9800</v>
      </c>
      <c r="G49" s="12">
        <v>626.09</v>
      </c>
      <c r="H49" s="12">
        <v>0</v>
      </c>
      <c r="I49" s="12">
        <v>8874.9500000000007</v>
      </c>
      <c r="J49" s="12">
        <v>0</v>
      </c>
      <c r="K49" s="13">
        <v>19301.04</v>
      </c>
      <c r="L49" s="13">
        <v>0</v>
      </c>
    </row>
    <row r="50" spans="1:12" x14ac:dyDescent="0.35">
      <c r="A50" s="15" t="s">
        <v>136</v>
      </c>
      <c r="B50" s="1" t="s">
        <v>137</v>
      </c>
      <c r="D50" s="17"/>
      <c r="E50" s="11" t="s">
        <v>138</v>
      </c>
      <c r="F50" s="12">
        <v>9800</v>
      </c>
      <c r="G50" s="12">
        <v>3168.66</v>
      </c>
      <c r="H50" s="12">
        <v>0</v>
      </c>
      <c r="I50" s="12">
        <v>6852.81</v>
      </c>
      <c r="J50" s="12">
        <v>0</v>
      </c>
      <c r="K50" s="13">
        <v>19821.47</v>
      </c>
      <c r="L50" s="13">
        <v>0</v>
      </c>
    </row>
    <row r="51" spans="1:12" x14ac:dyDescent="0.35">
      <c r="A51" s="15" t="s">
        <v>139</v>
      </c>
      <c r="B51" s="1" t="s">
        <v>140</v>
      </c>
      <c r="D51" s="17"/>
      <c r="E51" s="11" t="s">
        <v>141</v>
      </c>
      <c r="F51" s="12">
        <v>0</v>
      </c>
      <c r="G51" s="12">
        <v>1038.21</v>
      </c>
      <c r="H51" s="12">
        <v>0</v>
      </c>
      <c r="I51" s="12">
        <v>1427.8</v>
      </c>
      <c r="J51" s="12">
        <v>0</v>
      </c>
      <c r="K51" s="13">
        <v>2466.0100000000002</v>
      </c>
      <c r="L51" s="13">
        <v>0</v>
      </c>
    </row>
    <row r="52" spans="1:12" x14ac:dyDescent="0.35">
      <c r="A52" s="15" t="s">
        <v>142</v>
      </c>
      <c r="B52" s="1" t="s">
        <v>143</v>
      </c>
      <c r="D52" s="17"/>
      <c r="E52" s="11" t="s">
        <v>388</v>
      </c>
      <c r="F52" s="12">
        <v>9800</v>
      </c>
      <c r="G52" s="12">
        <v>2714.06</v>
      </c>
      <c r="H52" s="12">
        <v>8479.56</v>
      </c>
      <c r="I52" s="12">
        <v>29760.74</v>
      </c>
      <c r="J52" s="12">
        <v>0</v>
      </c>
      <c r="K52" s="13">
        <v>50754.36</v>
      </c>
      <c r="L52" s="13">
        <v>0</v>
      </c>
    </row>
    <row r="53" spans="1:12" x14ac:dyDescent="0.35">
      <c r="A53" s="15" t="s">
        <v>144</v>
      </c>
      <c r="B53" s="1" t="s">
        <v>145</v>
      </c>
      <c r="D53" s="17"/>
      <c r="E53" s="11" t="s">
        <v>146</v>
      </c>
      <c r="F53" s="12">
        <v>9800</v>
      </c>
      <c r="G53" s="12">
        <v>2474.15</v>
      </c>
      <c r="H53" s="12">
        <v>3212.6599999999989</v>
      </c>
      <c r="I53" s="12">
        <v>15080.28</v>
      </c>
      <c r="J53" s="12">
        <v>0</v>
      </c>
      <c r="K53" s="13">
        <v>30567.089999999997</v>
      </c>
      <c r="L53" s="13">
        <v>0</v>
      </c>
    </row>
    <row r="54" spans="1:12" x14ac:dyDescent="0.35">
      <c r="A54" s="15" t="s">
        <v>147</v>
      </c>
      <c r="B54" s="1" t="s">
        <v>148</v>
      </c>
      <c r="D54" s="17"/>
      <c r="E54" s="11" t="s">
        <v>149</v>
      </c>
      <c r="F54" s="12">
        <v>3422.96</v>
      </c>
      <c r="G54" s="12">
        <v>2675.08</v>
      </c>
      <c r="H54" s="12">
        <v>1508.4699999999998</v>
      </c>
      <c r="I54" s="12">
        <v>18289.3</v>
      </c>
      <c r="J54" s="12">
        <v>0</v>
      </c>
      <c r="K54" s="13">
        <v>25895.809999999998</v>
      </c>
      <c r="L54" s="13">
        <v>0</v>
      </c>
    </row>
    <row r="55" spans="1:12" x14ac:dyDescent="0.35">
      <c r="A55" s="15" t="s">
        <v>150</v>
      </c>
      <c r="B55" s="1" t="s">
        <v>151</v>
      </c>
      <c r="D55" s="17"/>
      <c r="E55" s="11" t="s">
        <v>152</v>
      </c>
      <c r="F55" s="12">
        <v>5880</v>
      </c>
      <c r="G55" s="12">
        <v>384.98</v>
      </c>
      <c r="H55" s="12">
        <v>0</v>
      </c>
      <c r="I55" s="12">
        <v>15847.55</v>
      </c>
      <c r="J55" s="12">
        <v>0</v>
      </c>
      <c r="K55" s="13">
        <v>22112.53</v>
      </c>
      <c r="L55" s="13">
        <v>0</v>
      </c>
    </row>
    <row r="56" spans="1:12" x14ac:dyDescent="0.35">
      <c r="A56" s="15" t="s">
        <v>153</v>
      </c>
      <c r="B56" s="1" t="s">
        <v>154</v>
      </c>
      <c r="D56" s="17"/>
      <c r="E56" s="11" t="s">
        <v>155</v>
      </c>
      <c r="F56" s="12">
        <v>9800</v>
      </c>
      <c r="G56" s="12">
        <v>1116.01</v>
      </c>
      <c r="H56" s="12">
        <v>0</v>
      </c>
      <c r="I56" s="12">
        <v>11443.11</v>
      </c>
      <c r="J56" s="12">
        <v>0</v>
      </c>
      <c r="K56" s="13">
        <v>22359.120000000003</v>
      </c>
      <c r="L56" s="13">
        <v>0</v>
      </c>
    </row>
    <row r="57" spans="1:12" x14ac:dyDescent="0.35">
      <c r="A57" s="15" t="s">
        <v>156</v>
      </c>
      <c r="B57" s="1" t="s">
        <v>157</v>
      </c>
      <c r="D57" s="17"/>
      <c r="E57" s="11" t="s">
        <v>158</v>
      </c>
      <c r="F57" s="12">
        <v>6860</v>
      </c>
      <c r="G57" s="12">
        <v>0</v>
      </c>
      <c r="H57" s="12">
        <v>47.7</v>
      </c>
      <c r="I57" s="12">
        <v>16219.47</v>
      </c>
      <c r="J57" s="12">
        <v>0</v>
      </c>
      <c r="K57" s="13">
        <v>23127.17</v>
      </c>
      <c r="L57" s="13">
        <v>3801.51</v>
      </c>
    </row>
    <row r="58" spans="1:12" x14ac:dyDescent="0.35">
      <c r="A58" s="15" t="s">
        <v>159</v>
      </c>
      <c r="B58" s="1" t="s">
        <v>160</v>
      </c>
      <c r="D58" s="17"/>
      <c r="E58" s="11" t="s">
        <v>161</v>
      </c>
      <c r="F58" s="12">
        <v>9800</v>
      </c>
      <c r="G58" s="12">
        <v>0</v>
      </c>
      <c r="H58" s="12">
        <v>0</v>
      </c>
      <c r="I58" s="12">
        <v>11202.16</v>
      </c>
      <c r="J58" s="12">
        <v>0</v>
      </c>
      <c r="K58" s="13">
        <v>21002.16</v>
      </c>
      <c r="L58" s="13">
        <v>126.24</v>
      </c>
    </row>
    <row r="59" spans="1:12" x14ac:dyDescent="0.35">
      <c r="A59" s="15" t="s">
        <v>162</v>
      </c>
      <c r="B59" s="1" t="s">
        <v>163</v>
      </c>
      <c r="D59" s="17"/>
      <c r="E59" s="11" t="s">
        <v>164</v>
      </c>
      <c r="F59" s="12">
        <v>9800</v>
      </c>
      <c r="G59" s="12">
        <v>350.08</v>
      </c>
      <c r="H59" s="12">
        <v>0</v>
      </c>
      <c r="I59" s="12">
        <v>10762.35</v>
      </c>
      <c r="J59" s="12">
        <v>0</v>
      </c>
      <c r="K59" s="13">
        <v>20912.43</v>
      </c>
      <c r="L59" s="13">
        <v>0</v>
      </c>
    </row>
    <row r="60" spans="1:12" x14ac:dyDescent="0.35">
      <c r="A60" s="15" t="s">
        <v>165</v>
      </c>
      <c r="B60" s="1" t="s">
        <v>166</v>
      </c>
      <c r="D60" s="17"/>
      <c r="E60" s="11" t="s">
        <v>167</v>
      </c>
      <c r="F60" s="12">
        <v>9800</v>
      </c>
      <c r="G60" s="12">
        <v>3107.21</v>
      </c>
      <c r="H60" s="12">
        <v>0</v>
      </c>
      <c r="I60" s="12">
        <v>12704.85</v>
      </c>
      <c r="J60" s="12">
        <v>0</v>
      </c>
      <c r="K60" s="13">
        <v>25612.059999999998</v>
      </c>
      <c r="L60" s="13">
        <v>0</v>
      </c>
    </row>
    <row r="61" spans="1:12" x14ac:dyDescent="0.35">
      <c r="A61" s="15" t="s">
        <v>168</v>
      </c>
      <c r="B61" s="1" t="s">
        <v>169</v>
      </c>
      <c r="D61" s="17"/>
      <c r="E61" s="11" t="s">
        <v>170</v>
      </c>
      <c r="F61" s="12">
        <v>9800</v>
      </c>
      <c r="G61" s="12">
        <v>1429</v>
      </c>
      <c r="H61" s="12">
        <v>0</v>
      </c>
      <c r="I61" s="12">
        <v>14047.6</v>
      </c>
      <c r="J61" s="12">
        <v>0</v>
      </c>
      <c r="K61" s="13">
        <v>25276.6</v>
      </c>
      <c r="L61" s="13">
        <v>0</v>
      </c>
    </row>
    <row r="62" spans="1:12" x14ac:dyDescent="0.35">
      <c r="A62" s="15" t="s">
        <v>171</v>
      </c>
      <c r="B62" s="1" t="s">
        <v>172</v>
      </c>
      <c r="D62" s="17"/>
      <c r="E62" s="11" t="s">
        <v>173</v>
      </c>
      <c r="F62" s="12">
        <v>9800</v>
      </c>
      <c r="G62" s="12">
        <v>0</v>
      </c>
      <c r="H62" s="12">
        <v>-271.59000000000015</v>
      </c>
      <c r="I62" s="12">
        <v>11926.34</v>
      </c>
      <c r="J62" s="12">
        <v>0</v>
      </c>
      <c r="K62" s="13">
        <v>21454.75</v>
      </c>
      <c r="L62" s="13">
        <v>0</v>
      </c>
    </row>
    <row r="63" spans="1:12" x14ac:dyDescent="0.35">
      <c r="A63" s="15" t="s">
        <v>174</v>
      </c>
      <c r="B63" s="1" t="s">
        <v>175</v>
      </c>
      <c r="D63" s="17"/>
      <c r="E63" s="11" t="s">
        <v>176</v>
      </c>
      <c r="F63" s="12">
        <v>9800</v>
      </c>
      <c r="G63" s="12">
        <v>2749.33</v>
      </c>
      <c r="H63" s="12">
        <v>0</v>
      </c>
      <c r="I63" s="12">
        <v>10071.620000000001</v>
      </c>
      <c r="J63" s="12">
        <v>0</v>
      </c>
      <c r="K63" s="13">
        <v>22620.95</v>
      </c>
      <c r="L63" s="13">
        <v>0</v>
      </c>
    </row>
    <row r="64" spans="1:12" x14ac:dyDescent="0.35">
      <c r="A64" s="15" t="s">
        <v>177</v>
      </c>
      <c r="B64" s="1" t="s">
        <v>178</v>
      </c>
      <c r="D64" s="17"/>
      <c r="E64" s="11" t="s">
        <v>179</v>
      </c>
      <c r="F64" s="12">
        <v>0</v>
      </c>
      <c r="G64" s="12">
        <v>1684.48</v>
      </c>
      <c r="H64" s="12">
        <v>0</v>
      </c>
      <c r="I64" s="12">
        <v>8153.29</v>
      </c>
      <c r="J64" s="12">
        <v>0</v>
      </c>
      <c r="K64" s="13">
        <v>9837.77</v>
      </c>
      <c r="L64" s="13">
        <v>0</v>
      </c>
    </row>
    <row r="65" spans="1:12" x14ac:dyDescent="0.35">
      <c r="A65" s="15" t="s">
        <v>180</v>
      </c>
      <c r="B65" s="1" t="s">
        <v>181</v>
      </c>
      <c r="D65" s="17"/>
      <c r="E65" s="11" t="s">
        <v>389</v>
      </c>
      <c r="F65" s="12">
        <v>9800</v>
      </c>
      <c r="G65" s="12">
        <v>163.47999999999999</v>
      </c>
      <c r="H65" s="12">
        <v>0</v>
      </c>
      <c r="I65" s="12">
        <v>17920.05</v>
      </c>
      <c r="J65" s="12">
        <v>0</v>
      </c>
      <c r="K65" s="13">
        <v>27883.53</v>
      </c>
      <c r="L65" s="13">
        <v>0</v>
      </c>
    </row>
    <row r="66" spans="1:12" x14ac:dyDescent="0.35">
      <c r="A66" s="15" t="s">
        <v>182</v>
      </c>
      <c r="B66" s="1" t="s">
        <v>183</v>
      </c>
      <c r="D66" s="17"/>
      <c r="E66" s="11" t="s">
        <v>184</v>
      </c>
      <c r="F66" s="12">
        <v>9800</v>
      </c>
      <c r="G66" s="12">
        <v>1002.51</v>
      </c>
      <c r="H66" s="12">
        <v>0</v>
      </c>
      <c r="I66" s="12">
        <v>9001.44</v>
      </c>
      <c r="J66" s="12">
        <v>0</v>
      </c>
      <c r="K66" s="13">
        <v>19803.95</v>
      </c>
      <c r="L66" s="13">
        <v>0</v>
      </c>
    </row>
    <row r="67" spans="1:12" x14ac:dyDescent="0.35">
      <c r="A67" s="15" t="s">
        <v>185</v>
      </c>
      <c r="B67" s="1" t="s">
        <v>186</v>
      </c>
      <c r="D67" s="17"/>
      <c r="E67" s="11" t="s">
        <v>187</v>
      </c>
      <c r="F67" s="12">
        <v>9800</v>
      </c>
      <c r="G67" s="12">
        <v>139.13</v>
      </c>
      <c r="H67" s="12">
        <v>641.23</v>
      </c>
      <c r="I67" s="12">
        <v>10938.57</v>
      </c>
      <c r="J67" s="12">
        <v>0</v>
      </c>
      <c r="K67" s="13">
        <v>21518.93</v>
      </c>
      <c r="L67" s="13">
        <v>0</v>
      </c>
    </row>
    <row r="68" spans="1:12" x14ac:dyDescent="0.35">
      <c r="A68" s="15" t="s">
        <v>188</v>
      </c>
      <c r="B68" s="1" t="s">
        <v>189</v>
      </c>
      <c r="D68" s="17"/>
      <c r="E68" s="11" t="s">
        <v>190</v>
      </c>
      <c r="F68" s="12">
        <v>9800</v>
      </c>
      <c r="G68" s="12">
        <v>1072.42</v>
      </c>
      <c r="H68" s="12">
        <v>0</v>
      </c>
      <c r="I68" s="12">
        <v>17612.71</v>
      </c>
      <c r="J68" s="12">
        <v>0</v>
      </c>
      <c r="K68" s="13">
        <v>28485.129999999997</v>
      </c>
      <c r="L68" s="13">
        <v>0</v>
      </c>
    </row>
    <row r="69" spans="1:12" ht="15" thickBot="1" x14ac:dyDescent="0.4">
      <c r="A69" s="15" t="s">
        <v>191</v>
      </c>
      <c r="B69" s="1" t="s">
        <v>192</v>
      </c>
      <c r="D69" s="17"/>
      <c r="E69" s="11" t="s">
        <v>193</v>
      </c>
      <c r="F69" s="12">
        <v>9800</v>
      </c>
      <c r="G69" s="12">
        <v>448.24</v>
      </c>
      <c r="H69" s="12">
        <v>117.39</v>
      </c>
      <c r="I69" s="12">
        <v>17888.310000000001</v>
      </c>
      <c r="J69" s="12">
        <v>0</v>
      </c>
      <c r="K69" s="13">
        <v>28253.940000000002</v>
      </c>
      <c r="L69" s="13">
        <v>0</v>
      </c>
    </row>
    <row r="70" spans="1:12" ht="15" thickBot="1" x14ac:dyDescent="0.4">
      <c r="A70" s="15"/>
      <c r="D70" s="6" t="s">
        <v>194</v>
      </c>
      <c r="E70" s="14"/>
      <c r="F70" s="8">
        <v>254581.58000000002</v>
      </c>
      <c r="G70" s="8">
        <v>49049.150000000016</v>
      </c>
      <c r="H70" s="8">
        <v>15040.959999999997</v>
      </c>
      <c r="I70" s="8">
        <v>481341.11999999988</v>
      </c>
      <c r="J70" s="8">
        <v>6734.15</v>
      </c>
      <c r="K70" s="9">
        <v>806746.96</v>
      </c>
      <c r="L70" s="9">
        <f>SUM(L36:L69)</f>
        <v>30408.960000000003</v>
      </c>
    </row>
    <row r="71" spans="1:12" x14ac:dyDescent="0.35">
      <c r="A71" s="15"/>
      <c r="D71" s="16" t="s">
        <v>195</v>
      </c>
      <c r="E71" s="11" t="s">
        <v>196</v>
      </c>
      <c r="F71" s="12">
        <v>691.83</v>
      </c>
      <c r="G71" s="12">
        <v>0</v>
      </c>
      <c r="H71" s="12">
        <v>0</v>
      </c>
      <c r="I71" s="12">
        <v>11467.41</v>
      </c>
      <c r="J71" s="12">
        <v>0</v>
      </c>
      <c r="K71" s="13">
        <v>12159.24</v>
      </c>
      <c r="L71" s="13">
        <v>0</v>
      </c>
    </row>
    <row r="72" spans="1:12" x14ac:dyDescent="0.35">
      <c r="A72" s="15" t="s">
        <v>197</v>
      </c>
      <c r="B72" s="1" t="s">
        <v>198</v>
      </c>
      <c r="D72" s="16"/>
      <c r="E72" s="11" t="s">
        <v>199</v>
      </c>
      <c r="F72" s="12">
        <v>9800</v>
      </c>
      <c r="G72" s="12">
        <v>0</v>
      </c>
      <c r="H72" s="12">
        <v>6693.5649999999996</v>
      </c>
      <c r="I72" s="12">
        <v>7975.69</v>
      </c>
      <c r="J72" s="12">
        <v>0</v>
      </c>
      <c r="K72" s="13">
        <v>24469.254999999997</v>
      </c>
      <c r="L72" s="13">
        <v>0</v>
      </c>
    </row>
    <row r="73" spans="1:12" x14ac:dyDescent="0.35">
      <c r="A73" s="15" t="s">
        <v>200</v>
      </c>
      <c r="B73" s="1" t="s">
        <v>201</v>
      </c>
      <c r="D73" s="16"/>
      <c r="E73" s="11" t="s">
        <v>390</v>
      </c>
      <c r="F73" s="12">
        <v>9800</v>
      </c>
      <c r="G73" s="12">
        <v>888.15</v>
      </c>
      <c r="H73" s="12">
        <v>11528.579999999998</v>
      </c>
      <c r="I73" s="12">
        <v>1906.62</v>
      </c>
      <c r="J73" s="12">
        <v>0</v>
      </c>
      <c r="K73" s="13">
        <v>24123.349999999995</v>
      </c>
      <c r="L73" s="13">
        <v>0</v>
      </c>
    </row>
    <row r="74" spans="1:12" ht="15" thickBot="1" x14ac:dyDescent="0.4">
      <c r="A74" s="15" t="s">
        <v>202</v>
      </c>
      <c r="B74" s="1" t="s">
        <v>203</v>
      </c>
      <c r="D74" s="16"/>
      <c r="E74" s="11" t="s">
        <v>391</v>
      </c>
      <c r="F74" s="12">
        <v>9800</v>
      </c>
      <c r="G74" s="12">
        <v>1685.04</v>
      </c>
      <c r="H74" s="12">
        <v>0</v>
      </c>
      <c r="I74" s="12">
        <v>19215.39</v>
      </c>
      <c r="J74" s="12">
        <v>0</v>
      </c>
      <c r="K74" s="13">
        <v>30700.43</v>
      </c>
      <c r="L74" s="13">
        <v>0</v>
      </c>
    </row>
    <row r="75" spans="1:12" ht="15" thickBot="1" x14ac:dyDescent="0.4">
      <c r="A75" s="15"/>
      <c r="D75" s="6" t="s">
        <v>392</v>
      </c>
      <c r="E75" s="14"/>
      <c r="F75" s="8">
        <v>30091.83</v>
      </c>
      <c r="G75" s="8">
        <v>2573.19</v>
      </c>
      <c r="H75" s="8">
        <v>18222.144999999997</v>
      </c>
      <c r="I75" s="8">
        <v>40565.11</v>
      </c>
      <c r="J75" s="8">
        <v>0</v>
      </c>
      <c r="K75" s="9">
        <v>91452.274999999994</v>
      </c>
      <c r="L75" s="9">
        <v>0</v>
      </c>
    </row>
    <row r="76" spans="1:12" x14ac:dyDescent="0.35">
      <c r="A76" s="15" t="s">
        <v>204</v>
      </c>
      <c r="B76" s="1" t="s">
        <v>205</v>
      </c>
      <c r="D76" s="16" t="s">
        <v>206</v>
      </c>
      <c r="E76" s="11" t="s">
        <v>207</v>
      </c>
      <c r="F76" s="12">
        <v>9800</v>
      </c>
      <c r="G76" s="12">
        <v>2396.63</v>
      </c>
      <c r="H76" s="12">
        <v>0</v>
      </c>
      <c r="I76" s="12">
        <v>15517.44</v>
      </c>
      <c r="J76" s="12">
        <v>0</v>
      </c>
      <c r="K76" s="13">
        <v>27714.07</v>
      </c>
      <c r="L76" s="13">
        <v>0</v>
      </c>
    </row>
    <row r="77" spans="1:12" x14ac:dyDescent="0.35">
      <c r="A77" s="15" t="s">
        <v>208</v>
      </c>
      <c r="B77" s="1" t="s">
        <v>209</v>
      </c>
      <c r="D77" s="17"/>
      <c r="E77" s="11" t="s">
        <v>210</v>
      </c>
      <c r="F77" s="12">
        <f>10316.19-516.19</f>
        <v>9800</v>
      </c>
      <c r="G77" s="12">
        <f>290.43+516.19</f>
        <v>806.62000000000012</v>
      </c>
      <c r="H77" s="12">
        <v>0</v>
      </c>
      <c r="I77" s="12">
        <v>13900.45</v>
      </c>
      <c r="J77" s="12">
        <v>0</v>
      </c>
      <c r="K77" s="13">
        <v>24507.07</v>
      </c>
      <c r="L77" s="13">
        <v>0</v>
      </c>
    </row>
    <row r="78" spans="1:12" x14ac:dyDescent="0.35">
      <c r="A78" s="15" t="s">
        <v>211</v>
      </c>
      <c r="B78" s="1" t="s">
        <v>212</v>
      </c>
      <c r="D78" s="17"/>
      <c r="E78" s="11" t="s">
        <v>213</v>
      </c>
      <c r="F78" s="12">
        <v>9800</v>
      </c>
      <c r="G78" s="12">
        <v>0</v>
      </c>
      <c r="H78" s="12">
        <v>0</v>
      </c>
      <c r="I78" s="12">
        <v>16294.21</v>
      </c>
      <c r="J78" s="12">
        <v>0</v>
      </c>
      <c r="K78" s="13">
        <v>26094.21</v>
      </c>
      <c r="L78" s="13">
        <v>0</v>
      </c>
    </row>
    <row r="79" spans="1:12" x14ac:dyDescent="0.35">
      <c r="A79" s="15" t="s">
        <v>214</v>
      </c>
      <c r="B79" s="1" t="s">
        <v>215</v>
      </c>
      <c r="D79" s="17"/>
      <c r="E79" s="11" t="s">
        <v>216</v>
      </c>
      <c r="F79" s="12">
        <v>9800</v>
      </c>
      <c r="G79" s="12">
        <v>0</v>
      </c>
      <c r="H79" s="12">
        <v>0</v>
      </c>
      <c r="I79" s="12">
        <v>13571.35</v>
      </c>
      <c r="J79" s="12">
        <v>0</v>
      </c>
      <c r="K79" s="13">
        <v>23371.35</v>
      </c>
      <c r="L79" s="13">
        <v>0</v>
      </c>
    </row>
    <row r="80" spans="1:12" x14ac:dyDescent="0.35">
      <c r="A80" s="15" t="s">
        <v>217</v>
      </c>
      <c r="B80" s="1" t="s">
        <v>218</v>
      </c>
      <c r="D80" s="17"/>
      <c r="E80" s="11" t="s">
        <v>219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3">
        <v>0</v>
      </c>
      <c r="L80" s="13">
        <v>0</v>
      </c>
    </row>
    <row r="81" spans="1:12" x14ac:dyDescent="0.35">
      <c r="A81" s="15" t="s">
        <v>220</v>
      </c>
      <c r="B81" s="1" t="s">
        <v>221</v>
      </c>
      <c r="D81" s="17"/>
      <c r="E81" s="11" t="s">
        <v>222</v>
      </c>
      <c r="F81" s="12">
        <v>4141.21</v>
      </c>
      <c r="G81" s="12">
        <v>732.61</v>
      </c>
      <c r="H81" s="12">
        <v>0</v>
      </c>
      <c r="I81" s="12">
        <v>15065.07</v>
      </c>
      <c r="J81" s="12">
        <v>0</v>
      </c>
      <c r="K81" s="13">
        <v>19938.89</v>
      </c>
      <c r="L81" s="13">
        <v>0</v>
      </c>
    </row>
    <row r="82" spans="1:12" x14ac:dyDescent="0.35">
      <c r="A82" s="15" t="s">
        <v>223</v>
      </c>
      <c r="B82" s="1" t="s">
        <v>224</v>
      </c>
      <c r="D82" s="17"/>
      <c r="E82" s="11" t="s">
        <v>225</v>
      </c>
      <c r="F82" s="12">
        <v>14000</v>
      </c>
      <c r="G82" s="12">
        <v>0</v>
      </c>
      <c r="H82" s="12">
        <v>4996.49</v>
      </c>
      <c r="I82" s="12">
        <v>7157.27</v>
      </c>
      <c r="J82" s="12">
        <v>2755.83</v>
      </c>
      <c r="K82" s="13">
        <v>28909.589999999997</v>
      </c>
      <c r="L82" s="13">
        <v>126.24</v>
      </c>
    </row>
    <row r="83" spans="1:12" x14ac:dyDescent="0.35">
      <c r="A83" s="15" t="s">
        <v>226</v>
      </c>
      <c r="B83" s="1" t="s">
        <v>227</v>
      </c>
      <c r="D83" s="17"/>
      <c r="E83" s="11" t="s">
        <v>228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3">
        <v>0</v>
      </c>
      <c r="L83" s="13">
        <v>0</v>
      </c>
    </row>
    <row r="84" spans="1:12" x14ac:dyDescent="0.35">
      <c r="A84" s="15" t="s">
        <v>229</v>
      </c>
      <c r="B84" s="1" t="s">
        <v>230</v>
      </c>
      <c r="D84" s="17"/>
      <c r="E84" s="11" t="s">
        <v>231</v>
      </c>
      <c r="F84" s="12">
        <v>9800</v>
      </c>
      <c r="G84" s="12">
        <v>2534.46</v>
      </c>
      <c r="H84" s="12">
        <v>0</v>
      </c>
      <c r="I84" s="12">
        <v>10388.64</v>
      </c>
      <c r="J84" s="12">
        <v>0</v>
      </c>
      <c r="K84" s="13">
        <v>22723.1</v>
      </c>
      <c r="L84" s="13">
        <v>0</v>
      </c>
    </row>
    <row r="85" spans="1:12" x14ac:dyDescent="0.35">
      <c r="A85" s="15" t="s">
        <v>232</v>
      </c>
      <c r="B85" s="1" t="s">
        <v>233</v>
      </c>
      <c r="D85" s="17"/>
      <c r="E85" s="11" t="s">
        <v>234</v>
      </c>
      <c r="F85" s="12">
        <v>8264.01</v>
      </c>
      <c r="G85" s="12">
        <v>191.31</v>
      </c>
      <c r="H85" s="12">
        <v>0</v>
      </c>
      <c r="I85" s="12">
        <v>9376.4</v>
      </c>
      <c r="J85" s="12">
        <v>0</v>
      </c>
      <c r="K85" s="13">
        <v>17831.72</v>
      </c>
      <c r="L85" s="13">
        <v>0</v>
      </c>
    </row>
    <row r="86" spans="1:12" x14ac:dyDescent="0.35">
      <c r="A86" s="15" t="s">
        <v>235</v>
      </c>
      <c r="B86" s="1" t="s">
        <v>236</v>
      </c>
      <c r="D86" s="17"/>
      <c r="E86" s="11" t="s">
        <v>237</v>
      </c>
      <c r="F86" s="12">
        <v>9800</v>
      </c>
      <c r="G86" s="12">
        <v>0</v>
      </c>
      <c r="H86" s="12">
        <v>0</v>
      </c>
      <c r="I86" s="12">
        <v>7761.56</v>
      </c>
      <c r="J86" s="12">
        <v>0</v>
      </c>
      <c r="K86" s="13">
        <v>17561.560000000001</v>
      </c>
      <c r="L86" s="13">
        <v>0</v>
      </c>
    </row>
    <row r="87" spans="1:12" x14ac:dyDescent="0.35">
      <c r="A87" s="15" t="s">
        <v>238</v>
      </c>
      <c r="B87" s="1" t="s">
        <v>239</v>
      </c>
      <c r="D87" s="17"/>
      <c r="E87" s="11" t="s">
        <v>240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3">
        <v>0</v>
      </c>
      <c r="L87" s="13">
        <v>0</v>
      </c>
    </row>
    <row r="88" spans="1:12" x14ac:dyDescent="0.35">
      <c r="A88" s="15" t="s">
        <v>241</v>
      </c>
      <c r="B88" s="1" t="s">
        <v>242</v>
      </c>
      <c r="D88" s="17"/>
      <c r="E88" s="11" t="s">
        <v>243</v>
      </c>
      <c r="F88" s="12">
        <v>9800</v>
      </c>
      <c r="G88" s="12">
        <v>730.52</v>
      </c>
      <c r="H88" s="12">
        <v>0</v>
      </c>
      <c r="I88" s="12">
        <v>10647.89</v>
      </c>
      <c r="J88" s="12">
        <v>0</v>
      </c>
      <c r="K88" s="13">
        <v>21178.41</v>
      </c>
      <c r="L88" s="13">
        <f>2971.32+1406.76</f>
        <v>4378.08</v>
      </c>
    </row>
    <row r="89" spans="1:12" x14ac:dyDescent="0.35">
      <c r="A89" s="15" t="s">
        <v>244</v>
      </c>
      <c r="B89" s="1" t="s">
        <v>245</v>
      </c>
      <c r="D89" s="17"/>
      <c r="E89" s="11" t="s">
        <v>246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3">
        <v>0</v>
      </c>
      <c r="L89" s="13">
        <v>0</v>
      </c>
    </row>
    <row r="90" spans="1:12" x14ac:dyDescent="0.35">
      <c r="A90" s="15" t="s">
        <v>247</v>
      </c>
      <c r="B90" s="1" t="s">
        <v>248</v>
      </c>
      <c r="D90" s="17"/>
      <c r="E90" s="11" t="s">
        <v>249</v>
      </c>
      <c r="F90" s="12">
        <v>6606.27</v>
      </c>
      <c r="G90" s="12">
        <v>739.52</v>
      </c>
      <c r="H90" s="12">
        <v>0</v>
      </c>
      <c r="I90" s="12">
        <v>18234.37</v>
      </c>
      <c r="J90" s="12">
        <v>0</v>
      </c>
      <c r="K90" s="13">
        <v>25580.16</v>
      </c>
      <c r="L90" s="13">
        <v>0</v>
      </c>
    </row>
    <row r="91" spans="1:12" x14ac:dyDescent="0.35">
      <c r="A91" s="15" t="s">
        <v>250</v>
      </c>
      <c r="B91" s="1" t="s">
        <v>251</v>
      </c>
      <c r="D91" s="17"/>
      <c r="E91" s="11" t="s">
        <v>252</v>
      </c>
      <c r="F91" s="12">
        <v>9573.91</v>
      </c>
      <c r="G91" s="12">
        <v>1166.1199999999999</v>
      </c>
      <c r="H91" s="12">
        <v>1247.98</v>
      </c>
      <c r="I91" s="12">
        <v>15561.57</v>
      </c>
      <c r="J91" s="12">
        <v>0</v>
      </c>
      <c r="K91" s="13">
        <v>27549.579999999998</v>
      </c>
      <c r="L91" s="13">
        <v>0</v>
      </c>
    </row>
    <row r="92" spans="1:12" x14ac:dyDescent="0.35">
      <c r="A92" s="15" t="s">
        <v>253</v>
      </c>
      <c r="B92" s="1" t="s">
        <v>254</v>
      </c>
      <c r="D92" s="17"/>
      <c r="E92" s="11" t="s">
        <v>255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3">
        <v>0</v>
      </c>
      <c r="L92" s="13">
        <v>0</v>
      </c>
    </row>
    <row r="93" spans="1:12" x14ac:dyDescent="0.35">
      <c r="A93" s="15" t="s">
        <v>256</v>
      </c>
      <c r="B93" s="1" t="s">
        <v>257</v>
      </c>
      <c r="D93" s="17"/>
      <c r="E93" s="11" t="s">
        <v>258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3">
        <v>0</v>
      </c>
      <c r="L93" s="13">
        <v>0</v>
      </c>
    </row>
    <row r="94" spans="1:12" x14ac:dyDescent="0.35">
      <c r="A94" s="15" t="s">
        <v>259</v>
      </c>
      <c r="B94" s="1" t="s">
        <v>260</v>
      </c>
      <c r="D94" s="17"/>
      <c r="E94" s="11" t="s">
        <v>261</v>
      </c>
      <c r="F94" s="12">
        <v>9800</v>
      </c>
      <c r="G94" s="12">
        <v>230.61</v>
      </c>
      <c r="H94" s="12">
        <v>0</v>
      </c>
      <c r="I94" s="12">
        <v>6960.76</v>
      </c>
      <c r="J94" s="12">
        <v>0</v>
      </c>
      <c r="K94" s="13">
        <v>16991.370000000003</v>
      </c>
      <c r="L94" s="13">
        <v>0</v>
      </c>
    </row>
    <row r="95" spans="1:12" x14ac:dyDescent="0.35">
      <c r="A95" s="15" t="s">
        <v>262</v>
      </c>
      <c r="B95" s="1" t="s">
        <v>263</v>
      </c>
      <c r="D95" s="17"/>
      <c r="E95" s="11" t="s">
        <v>264</v>
      </c>
      <c r="F95" s="12">
        <v>9800</v>
      </c>
      <c r="G95" s="12">
        <v>1760.41</v>
      </c>
      <c r="H95" s="12">
        <v>0</v>
      </c>
      <c r="I95" s="12">
        <v>11936.89</v>
      </c>
      <c r="J95" s="12">
        <v>0</v>
      </c>
      <c r="K95" s="13">
        <v>23497.3</v>
      </c>
      <c r="L95" s="13">
        <f>6421.4+2672.84</f>
        <v>9094.24</v>
      </c>
    </row>
    <row r="96" spans="1:12" x14ac:dyDescent="0.35">
      <c r="A96" s="15" t="s">
        <v>265</v>
      </c>
      <c r="B96" s="1" t="s">
        <v>266</v>
      </c>
      <c r="D96" s="17"/>
      <c r="E96" s="11" t="s">
        <v>267</v>
      </c>
      <c r="F96" s="12">
        <v>14000</v>
      </c>
      <c r="G96" s="12">
        <v>278.26</v>
      </c>
      <c r="H96" s="12">
        <v>0</v>
      </c>
      <c r="I96" s="12">
        <v>10692.96</v>
      </c>
      <c r="J96" s="12">
        <v>0</v>
      </c>
      <c r="K96" s="13">
        <v>24971.22</v>
      </c>
      <c r="L96" s="13">
        <v>0</v>
      </c>
    </row>
    <row r="97" spans="1:12" x14ac:dyDescent="0.35">
      <c r="A97" s="15" t="s">
        <v>268</v>
      </c>
      <c r="B97" s="1" t="s">
        <v>269</v>
      </c>
      <c r="D97" s="17"/>
      <c r="E97" s="11" t="s">
        <v>270</v>
      </c>
      <c r="F97" s="12">
        <v>9800</v>
      </c>
      <c r="G97" s="12">
        <v>678.83</v>
      </c>
      <c r="H97" s="12">
        <v>0</v>
      </c>
      <c r="I97" s="12">
        <v>16638.14</v>
      </c>
      <c r="J97" s="12">
        <v>0</v>
      </c>
      <c r="K97" s="13">
        <v>27116.97</v>
      </c>
      <c r="L97" s="13">
        <v>0</v>
      </c>
    </row>
    <row r="98" spans="1:12" x14ac:dyDescent="0.35">
      <c r="A98" s="15" t="s">
        <v>271</v>
      </c>
      <c r="B98" s="1" t="s">
        <v>272</v>
      </c>
      <c r="D98" s="17"/>
      <c r="E98" s="11" t="s">
        <v>273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3">
        <v>0</v>
      </c>
      <c r="L98" s="13">
        <v>0</v>
      </c>
    </row>
    <row r="99" spans="1:12" x14ac:dyDescent="0.35">
      <c r="A99" s="15" t="s">
        <v>274</v>
      </c>
      <c r="B99" s="1" t="s">
        <v>275</v>
      </c>
      <c r="D99" s="17"/>
      <c r="E99" s="11" t="s">
        <v>276</v>
      </c>
      <c r="F99" s="12">
        <v>5489.4</v>
      </c>
      <c r="G99" s="12">
        <v>0</v>
      </c>
      <c r="H99" s="12">
        <v>3857.2200000000003</v>
      </c>
      <c r="I99" s="12">
        <v>12711.25</v>
      </c>
      <c r="J99" s="12">
        <v>0</v>
      </c>
      <c r="K99" s="13">
        <v>22057.87</v>
      </c>
      <c r="L99" s="13">
        <v>0</v>
      </c>
    </row>
    <row r="100" spans="1:12" x14ac:dyDescent="0.35">
      <c r="A100" s="15" t="s">
        <v>277</v>
      </c>
      <c r="B100" s="1" t="s">
        <v>278</v>
      </c>
      <c r="D100" s="17"/>
      <c r="E100" s="11" t="s">
        <v>279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3">
        <v>0</v>
      </c>
      <c r="L100" s="13">
        <v>0</v>
      </c>
    </row>
    <row r="101" spans="1:12" x14ac:dyDescent="0.35">
      <c r="A101" s="15" t="s">
        <v>280</v>
      </c>
      <c r="B101" s="1" t="s">
        <v>281</v>
      </c>
      <c r="D101" s="17"/>
      <c r="E101" s="11" t="s">
        <v>393</v>
      </c>
      <c r="F101" s="12">
        <v>6868.53</v>
      </c>
      <c r="G101" s="12">
        <v>656.35</v>
      </c>
      <c r="H101" s="12">
        <v>0</v>
      </c>
      <c r="I101" s="12">
        <v>20309.39</v>
      </c>
      <c r="J101" s="12">
        <v>0</v>
      </c>
      <c r="K101" s="13">
        <v>27834.27</v>
      </c>
      <c r="L101" s="13">
        <v>0</v>
      </c>
    </row>
    <row r="102" spans="1:12" x14ac:dyDescent="0.35">
      <c r="A102" s="15" t="s">
        <v>282</v>
      </c>
      <c r="B102" s="1" t="s">
        <v>283</v>
      </c>
      <c r="D102" s="17"/>
      <c r="E102" s="11" t="s">
        <v>284</v>
      </c>
      <c r="F102" s="12">
        <v>9800</v>
      </c>
      <c r="G102" s="12">
        <v>672.43</v>
      </c>
      <c r="H102" s="12">
        <v>0</v>
      </c>
      <c r="I102" s="12">
        <v>10033</v>
      </c>
      <c r="J102" s="12">
        <v>0</v>
      </c>
      <c r="K102" s="13">
        <v>20505.43</v>
      </c>
      <c r="L102" s="13">
        <v>0</v>
      </c>
    </row>
    <row r="103" spans="1:12" x14ac:dyDescent="0.35">
      <c r="A103" s="15" t="s">
        <v>285</v>
      </c>
      <c r="B103" s="1" t="s">
        <v>286</v>
      </c>
      <c r="D103" s="17"/>
      <c r="E103" s="11" t="s">
        <v>287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0</v>
      </c>
      <c r="L103" s="13">
        <v>0</v>
      </c>
    </row>
    <row r="104" spans="1:12" x14ac:dyDescent="0.35">
      <c r="A104" s="15" t="s">
        <v>288</v>
      </c>
      <c r="B104" s="1" t="s">
        <v>289</v>
      </c>
      <c r="D104" s="17"/>
      <c r="E104" s="11" t="s">
        <v>290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3">
        <v>0</v>
      </c>
      <c r="L104" s="13">
        <v>0</v>
      </c>
    </row>
    <row r="105" spans="1:12" x14ac:dyDescent="0.35">
      <c r="A105" s="15" t="s">
        <v>291</v>
      </c>
      <c r="B105" s="1" t="s">
        <v>292</v>
      </c>
      <c r="D105" s="17"/>
      <c r="E105" s="11" t="s">
        <v>293</v>
      </c>
      <c r="F105" s="12">
        <v>8406.9699999999993</v>
      </c>
      <c r="G105" s="12">
        <v>1848.6000000000001</v>
      </c>
      <c r="H105" s="12">
        <v>0</v>
      </c>
      <c r="I105" s="12">
        <v>20762.43</v>
      </c>
      <c r="J105" s="12">
        <v>0</v>
      </c>
      <c r="K105" s="13">
        <v>31018</v>
      </c>
      <c r="L105" s="13">
        <v>0</v>
      </c>
    </row>
    <row r="106" spans="1:12" x14ac:dyDescent="0.35">
      <c r="A106" s="15" t="s">
        <v>294</v>
      </c>
      <c r="B106" s="1" t="s">
        <v>295</v>
      </c>
      <c r="D106" s="17"/>
      <c r="E106" s="11" t="s">
        <v>296</v>
      </c>
      <c r="F106" s="12">
        <v>9800</v>
      </c>
      <c r="G106" s="12">
        <v>251.55</v>
      </c>
      <c r="H106" s="12">
        <v>0</v>
      </c>
      <c r="I106" s="12">
        <v>12915.61</v>
      </c>
      <c r="J106" s="12">
        <v>0</v>
      </c>
      <c r="K106" s="13">
        <v>22967.16</v>
      </c>
      <c r="L106" s="13">
        <v>0</v>
      </c>
    </row>
    <row r="107" spans="1:12" x14ac:dyDescent="0.35">
      <c r="A107" s="15" t="s">
        <v>297</v>
      </c>
      <c r="B107" s="1" t="s">
        <v>298</v>
      </c>
      <c r="D107" s="17"/>
      <c r="E107" s="11" t="s">
        <v>299</v>
      </c>
      <c r="F107" s="12">
        <v>0</v>
      </c>
      <c r="G107" s="12">
        <v>0</v>
      </c>
      <c r="H107" s="12">
        <v>0</v>
      </c>
      <c r="I107" s="12">
        <v>1709.01</v>
      </c>
      <c r="J107" s="12">
        <v>0</v>
      </c>
      <c r="K107" s="13">
        <v>1709.01</v>
      </c>
      <c r="L107" s="13">
        <v>0</v>
      </c>
    </row>
    <row r="108" spans="1:12" x14ac:dyDescent="0.35">
      <c r="A108" s="15" t="s">
        <v>300</v>
      </c>
      <c r="B108" s="1" t="s">
        <v>301</v>
      </c>
      <c r="D108" s="17"/>
      <c r="E108" s="11" t="s">
        <v>302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3">
        <v>0</v>
      </c>
      <c r="L108" s="13">
        <v>0</v>
      </c>
    </row>
    <row r="109" spans="1:12" x14ac:dyDescent="0.35">
      <c r="A109" s="15" t="s">
        <v>303</v>
      </c>
      <c r="B109" s="1" t="s">
        <v>304</v>
      </c>
      <c r="D109" s="17"/>
      <c r="E109" s="11" t="s">
        <v>305</v>
      </c>
      <c r="F109" s="12">
        <v>9800</v>
      </c>
      <c r="G109" s="12">
        <v>2060.46</v>
      </c>
      <c r="H109" s="12">
        <v>0</v>
      </c>
      <c r="I109" s="12">
        <v>15160.12</v>
      </c>
      <c r="J109" s="12">
        <v>0</v>
      </c>
      <c r="K109" s="13">
        <v>27020.58</v>
      </c>
      <c r="L109" s="13">
        <v>0</v>
      </c>
    </row>
    <row r="110" spans="1:12" x14ac:dyDescent="0.35">
      <c r="A110" s="15" t="s">
        <v>306</v>
      </c>
      <c r="B110" s="1" t="s">
        <v>307</v>
      </c>
      <c r="D110" s="17"/>
      <c r="E110" s="11" t="s">
        <v>308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3">
        <v>0</v>
      </c>
      <c r="L110" s="13">
        <v>0</v>
      </c>
    </row>
    <row r="111" spans="1:12" x14ac:dyDescent="0.35">
      <c r="A111" s="15" t="s">
        <v>309</v>
      </c>
      <c r="B111" s="1" t="s">
        <v>310</v>
      </c>
      <c r="D111" s="17"/>
      <c r="E111" s="11" t="s">
        <v>311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0</v>
      </c>
      <c r="L111" s="13">
        <v>0</v>
      </c>
    </row>
    <row r="112" spans="1:12" x14ac:dyDescent="0.35">
      <c r="A112" s="15" t="s">
        <v>312</v>
      </c>
      <c r="B112" s="1" t="s">
        <v>313</v>
      </c>
      <c r="D112" s="17"/>
      <c r="E112" s="11" t="s">
        <v>314</v>
      </c>
      <c r="F112" s="12">
        <v>6660.54</v>
      </c>
      <c r="G112" s="12">
        <v>587.91999999999996</v>
      </c>
      <c r="H112" s="12">
        <v>0</v>
      </c>
      <c r="I112" s="12">
        <v>7540.22</v>
      </c>
      <c r="J112" s="12">
        <v>0</v>
      </c>
      <c r="K112" s="13">
        <v>14788.68</v>
      </c>
      <c r="L112" s="13">
        <v>0</v>
      </c>
    </row>
    <row r="113" spans="1:12" x14ac:dyDescent="0.35">
      <c r="A113" s="15" t="s">
        <v>315</v>
      </c>
      <c r="B113" s="1" t="s">
        <v>316</v>
      </c>
      <c r="D113" s="17"/>
      <c r="E113" s="11" t="s">
        <v>317</v>
      </c>
      <c r="F113" s="12">
        <v>9800</v>
      </c>
      <c r="G113" s="12">
        <v>596.9</v>
      </c>
      <c r="H113" s="12">
        <v>0</v>
      </c>
      <c r="I113" s="12">
        <v>12715.4</v>
      </c>
      <c r="J113" s="12">
        <v>0</v>
      </c>
      <c r="K113" s="13">
        <v>23112.3</v>
      </c>
      <c r="L113" s="13">
        <v>0</v>
      </c>
    </row>
    <row r="114" spans="1:12" x14ac:dyDescent="0.35">
      <c r="A114" s="15" t="s">
        <v>318</v>
      </c>
      <c r="B114" s="1" t="s">
        <v>319</v>
      </c>
      <c r="D114" s="17"/>
      <c r="E114" s="11" t="s">
        <v>320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3">
        <v>0</v>
      </c>
      <c r="L114" s="13">
        <v>0</v>
      </c>
    </row>
    <row r="115" spans="1:12" x14ac:dyDescent="0.35">
      <c r="A115" s="15" t="s">
        <v>321</v>
      </c>
      <c r="B115" s="1" t="s">
        <v>322</v>
      </c>
      <c r="D115" s="17"/>
      <c r="E115" s="11" t="s">
        <v>323</v>
      </c>
      <c r="F115" s="12">
        <v>9800</v>
      </c>
      <c r="G115" s="12">
        <v>1306.43</v>
      </c>
      <c r="H115" s="12">
        <v>248.87</v>
      </c>
      <c r="I115" s="12">
        <v>19513.330000000002</v>
      </c>
      <c r="J115" s="12">
        <v>0</v>
      </c>
      <c r="K115" s="13">
        <v>30868.630000000005</v>
      </c>
      <c r="L115" s="13">
        <v>0</v>
      </c>
    </row>
    <row r="116" spans="1:12" x14ac:dyDescent="0.35">
      <c r="A116" s="15" t="s">
        <v>324</v>
      </c>
      <c r="B116" s="1" t="s">
        <v>325</v>
      </c>
      <c r="D116" s="17"/>
      <c r="E116" s="11" t="s">
        <v>326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3">
        <v>0</v>
      </c>
      <c r="L116" s="13">
        <v>0</v>
      </c>
    </row>
    <row r="117" spans="1:12" x14ac:dyDescent="0.35">
      <c r="A117" s="15" t="s">
        <v>327</v>
      </c>
      <c r="B117" s="1" t="s">
        <v>328</v>
      </c>
      <c r="D117" s="17"/>
      <c r="E117" s="11" t="s">
        <v>329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3">
        <v>0</v>
      </c>
      <c r="L117" s="13">
        <v>0</v>
      </c>
    </row>
    <row r="118" spans="1:12" x14ac:dyDescent="0.35">
      <c r="A118" s="15" t="s">
        <v>330</v>
      </c>
      <c r="B118" s="1" t="s">
        <v>331</v>
      </c>
      <c r="D118" s="17"/>
      <c r="E118" s="11" t="s">
        <v>332</v>
      </c>
      <c r="F118" s="12">
        <v>9800</v>
      </c>
      <c r="G118" s="12">
        <v>0</v>
      </c>
      <c r="H118" s="12">
        <v>0</v>
      </c>
      <c r="I118" s="12">
        <v>16594.689999999999</v>
      </c>
      <c r="J118" s="12">
        <v>0</v>
      </c>
      <c r="K118" s="13">
        <v>26394.69</v>
      </c>
      <c r="L118" s="13">
        <v>126.24</v>
      </c>
    </row>
    <row r="119" spans="1:12" x14ac:dyDescent="0.35">
      <c r="A119" s="15" t="s">
        <v>333</v>
      </c>
      <c r="B119" s="1" t="s">
        <v>334</v>
      </c>
      <c r="D119" s="17"/>
      <c r="E119" s="11" t="s">
        <v>335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3">
        <v>0</v>
      </c>
      <c r="L119" s="13">
        <v>0</v>
      </c>
    </row>
    <row r="120" spans="1:12" x14ac:dyDescent="0.35">
      <c r="A120" s="15" t="s">
        <v>336</v>
      </c>
      <c r="B120" s="1" t="s">
        <v>337</v>
      </c>
      <c r="D120" s="17"/>
      <c r="E120" s="11" t="s">
        <v>338</v>
      </c>
      <c r="F120" s="12">
        <v>9800</v>
      </c>
      <c r="G120" s="12">
        <v>0</v>
      </c>
      <c r="H120" s="12">
        <v>5754.77</v>
      </c>
      <c r="I120" s="12">
        <v>15422.05</v>
      </c>
      <c r="J120" s="12">
        <v>0</v>
      </c>
      <c r="K120" s="13">
        <v>30976.82</v>
      </c>
      <c r="L120" s="13">
        <v>0</v>
      </c>
    </row>
    <row r="121" spans="1:12" x14ac:dyDescent="0.35">
      <c r="A121" s="15" t="s">
        <v>339</v>
      </c>
      <c r="B121" s="1" t="s">
        <v>340</v>
      </c>
      <c r="D121" s="17"/>
      <c r="E121" s="11" t="s">
        <v>341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0</v>
      </c>
      <c r="L121" s="13">
        <v>0</v>
      </c>
    </row>
    <row r="122" spans="1:12" x14ac:dyDescent="0.35">
      <c r="A122" s="15" t="s">
        <v>342</v>
      </c>
      <c r="B122" s="1" t="s">
        <v>343</v>
      </c>
      <c r="D122" s="17"/>
      <c r="E122" s="11" t="s">
        <v>344</v>
      </c>
      <c r="F122" s="12">
        <v>9800</v>
      </c>
      <c r="G122" s="12">
        <v>227.73</v>
      </c>
      <c r="H122" s="12">
        <v>0</v>
      </c>
      <c r="I122" s="12">
        <v>18432.73</v>
      </c>
      <c r="J122" s="12">
        <v>0</v>
      </c>
      <c r="K122" s="13">
        <v>28460.46</v>
      </c>
      <c r="L122" s="13">
        <v>0</v>
      </c>
    </row>
    <row r="123" spans="1:12" x14ac:dyDescent="0.35">
      <c r="A123" s="15" t="s">
        <v>345</v>
      </c>
      <c r="B123" s="1" t="s">
        <v>346</v>
      </c>
      <c r="D123" s="17"/>
      <c r="E123" s="11" t="s">
        <v>347</v>
      </c>
      <c r="F123" s="12">
        <v>9800</v>
      </c>
      <c r="G123" s="12">
        <v>0</v>
      </c>
      <c r="H123" s="12">
        <v>0</v>
      </c>
      <c r="I123" s="12">
        <v>10234.040000000001</v>
      </c>
      <c r="J123" s="12">
        <v>0</v>
      </c>
      <c r="K123" s="13">
        <v>20034.04</v>
      </c>
      <c r="L123" s="13">
        <v>0</v>
      </c>
    </row>
    <row r="124" spans="1:12" ht="15" thickBot="1" x14ac:dyDescent="0.4">
      <c r="A124" s="15" t="s">
        <v>348</v>
      </c>
      <c r="B124" s="1" t="s">
        <v>349</v>
      </c>
      <c r="D124" s="17"/>
      <c r="E124" s="11" t="s">
        <v>350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3">
        <v>0</v>
      </c>
      <c r="L124" s="13">
        <v>0</v>
      </c>
    </row>
    <row r="125" spans="1:12" ht="15" thickBot="1" x14ac:dyDescent="0.4">
      <c r="D125" s="6" t="s">
        <v>351</v>
      </c>
      <c r="E125" s="14"/>
      <c r="F125" s="8">
        <v>270727.03000000003</v>
      </c>
      <c r="G125" s="8">
        <v>19938.080000000002</v>
      </c>
      <c r="H125" s="8">
        <v>16105.33</v>
      </c>
      <c r="I125" s="8">
        <v>393758.23999999993</v>
      </c>
      <c r="J125" s="8">
        <v>2755.83</v>
      </c>
      <c r="K125" s="9">
        <v>703284.50999999989</v>
      </c>
      <c r="L125" s="9">
        <f>SUM(L76:L124)</f>
        <v>13724.8</v>
      </c>
    </row>
    <row r="126" spans="1:12" x14ac:dyDescent="0.35">
      <c r="A126" s="1" t="s">
        <v>352</v>
      </c>
      <c r="B126" s="1" t="s">
        <v>353</v>
      </c>
      <c r="D126" s="10" t="s">
        <v>354</v>
      </c>
      <c r="E126" s="11" t="s">
        <v>394</v>
      </c>
      <c r="F126" s="12">
        <v>9800</v>
      </c>
      <c r="G126" s="12">
        <v>5269</v>
      </c>
      <c r="H126" s="12">
        <v>0</v>
      </c>
      <c r="I126" s="12">
        <v>24004.22</v>
      </c>
      <c r="J126" s="12">
        <v>0</v>
      </c>
      <c r="K126" s="13">
        <v>39073.22</v>
      </c>
      <c r="L126" s="13">
        <v>523.76</v>
      </c>
    </row>
    <row r="127" spans="1:12" x14ac:dyDescent="0.35">
      <c r="A127" s="1" t="s">
        <v>355</v>
      </c>
      <c r="B127" s="1" t="s">
        <v>356</v>
      </c>
      <c r="D127" s="10"/>
      <c r="E127" s="11" t="s">
        <v>357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3">
        <v>0</v>
      </c>
      <c r="L127" s="13">
        <v>0</v>
      </c>
    </row>
    <row r="128" spans="1:12" x14ac:dyDescent="0.35">
      <c r="A128" s="1" t="s">
        <v>358</v>
      </c>
      <c r="B128" s="1" t="s">
        <v>359</v>
      </c>
      <c r="D128" s="10"/>
      <c r="E128" s="11" t="s">
        <v>360</v>
      </c>
      <c r="F128" s="12">
        <v>9800</v>
      </c>
      <c r="G128" s="12">
        <v>1865.66</v>
      </c>
      <c r="H128" s="12">
        <v>0</v>
      </c>
      <c r="I128" s="12">
        <v>7970.51</v>
      </c>
      <c r="J128" s="12">
        <v>0</v>
      </c>
      <c r="K128" s="13">
        <v>19636.169999999998</v>
      </c>
      <c r="L128" s="13">
        <v>0</v>
      </c>
    </row>
    <row r="129" spans="1:12" x14ac:dyDescent="0.35">
      <c r="A129" s="1" t="s">
        <v>361</v>
      </c>
      <c r="B129" s="1" t="s">
        <v>362</v>
      </c>
      <c r="D129" s="10"/>
      <c r="E129" s="11" t="s">
        <v>363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3">
        <v>0</v>
      </c>
      <c r="L129" s="13">
        <v>0</v>
      </c>
    </row>
    <row r="130" spans="1:12" x14ac:dyDescent="0.35">
      <c r="A130" s="1" t="s">
        <v>364</v>
      </c>
      <c r="B130" s="1" t="s">
        <v>365</v>
      </c>
      <c r="D130" s="10"/>
      <c r="E130" s="11" t="s">
        <v>366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3">
        <v>0</v>
      </c>
      <c r="L130" s="13">
        <v>0</v>
      </c>
    </row>
    <row r="131" spans="1:12" x14ac:dyDescent="0.35">
      <c r="A131" s="1" t="s">
        <v>367</v>
      </c>
      <c r="B131" s="1" t="s">
        <v>368</v>
      </c>
      <c r="D131" s="10"/>
      <c r="E131" s="11" t="s">
        <v>369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3">
        <v>0</v>
      </c>
      <c r="L131" s="13">
        <v>0</v>
      </c>
    </row>
    <row r="132" spans="1:12" x14ac:dyDescent="0.35">
      <c r="A132" s="1" t="s">
        <v>370</v>
      </c>
      <c r="B132" s="1" t="s">
        <v>371</v>
      </c>
      <c r="D132" s="10"/>
      <c r="E132" s="11" t="s">
        <v>372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3">
        <v>0</v>
      </c>
      <c r="L132" s="13">
        <v>0</v>
      </c>
    </row>
    <row r="133" spans="1:12" x14ac:dyDescent="0.35">
      <c r="D133" s="10"/>
      <c r="E133" s="11" t="s">
        <v>395</v>
      </c>
      <c r="F133" s="12">
        <v>0</v>
      </c>
      <c r="G133" s="12">
        <v>0</v>
      </c>
      <c r="H133" s="12">
        <v>0</v>
      </c>
      <c r="I133" s="12">
        <v>-390.72</v>
      </c>
      <c r="J133" s="12">
        <v>0</v>
      </c>
      <c r="K133" s="13">
        <v>-390.72</v>
      </c>
      <c r="L133" s="13">
        <v>0</v>
      </c>
    </row>
    <row r="134" spans="1:12" ht="15" thickBot="1" x14ac:dyDescent="0.4">
      <c r="A134" s="1" t="s">
        <v>373</v>
      </c>
      <c r="B134" s="1" t="s">
        <v>374</v>
      </c>
      <c r="D134" s="10"/>
      <c r="E134" s="11" t="s">
        <v>375</v>
      </c>
      <c r="F134" s="12">
        <v>6190.97</v>
      </c>
      <c r="G134" s="12">
        <v>542.26</v>
      </c>
      <c r="H134" s="12">
        <v>0</v>
      </c>
      <c r="I134" s="12">
        <v>12729.23</v>
      </c>
      <c r="J134" s="12">
        <v>0</v>
      </c>
      <c r="K134" s="13">
        <v>19462.46</v>
      </c>
      <c r="L134" s="13">
        <v>0</v>
      </c>
    </row>
    <row r="135" spans="1:12" ht="15" thickBot="1" x14ac:dyDescent="0.4">
      <c r="D135" s="6" t="s">
        <v>376</v>
      </c>
      <c r="E135" s="14"/>
      <c r="F135" s="8">
        <v>25790.97</v>
      </c>
      <c r="G135" s="8">
        <v>7676.92</v>
      </c>
      <c r="H135" s="8">
        <v>0</v>
      </c>
      <c r="I135" s="8">
        <v>44313.240000000005</v>
      </c>
      <c r="J135" s="8">
        <v>0</v>
      </c>
      <c r="K135" s="9">
        <v>77781.13</v>
      </c>
      <c r="L135" s="9">
        <f>SUM(L126:L134)</f>
        <v>523.76</v>
      </c>
    </row>
    <row r="136" spans="1:12" ht="15" thickBot="1" x14ac:dyDescent="0.4"/>
    <row r="137" spans="1:12" ht="15" thickBot="1" x14ac:dyDescent="0.4">
      <c r="D137" s="6" t="s">
        <v>4</v>
      </c>
      <c r="E137" s="14"/>
      <c r="F137" s="8">
        <v>726785.75</v>
      </c>
      <c r="G137" s="8">
        <v>122347.96000000002</v>
      </c>
      <c r="H137" s="8">
        <v>71573.849999999991</v>
      </c>
      <c r="I137" s="8">
        <v>1269969.2799999998</v>
      </c>
      <c r="J137" s="8">
        <v>9489.98</v>
      </c>
      <c r="K137" s="9">
        <v>2200166.8199999998</v>
      </c>
      <c r="L137" s="9">
        <f>+L135+L125+L75+L70+L35+L18+L6+L5</f>
        <v>48733.15</v>
      </c>
    </row>
    <row r="138" spans="1:12" ht="24.4" customHeight="1" x14ac:dyDescent="0.35">
      <c r="D138" s="20"/>
      <c r="E138" s="20"/>
      <c r="F138" s="21"/>
      <c r="G138" s="21"/>
      <c r="H138" s="21"/>
      <c r="I138" s="21"/>
      <c r="J138" s="21"/>
      <c r="K138" s="21"/>
      <c r="L138" s="21"/>
    </row>
    <row r="139" spans="1:12" ht="15" customHeight="1" x14ac:dyDescent="0.35">
      <c r="D139" s="23" t="s">
        <v>377</v>
      </c>
      <c r="E139" s="23"/>
      <c r="F139" s="23"/>
      <c r="G139" s="23"/>
      <c r="H139" s="23"/>
      <c r="I139" s="23"/>
      <c r="J139" s="23"/>
      <c r="K139" s="23"/>
      <c r="L139" s="21"/>
    </row>
    <row r="140" spans="1:12" ht="15" customHeight="1" x14ac:dyDescent="0.35">
      <c r="D140" s="23" t="s">
        <v>378</v>
      </c>
      <c r="E140" s="23"/>
      <c r="F140" s="23"/>
      <c r="G140" s="23"/>
      <c r="H140" s="23"/>
      <c r="I140" s="23"/>
      <c r="J140" s="23"/>
      <c r="K140" s="23"/>
      <c r="L140" s="21"/>
    </row>
    <row r="141" spans="1:12" ht="15" customHeight="1" x14ac:dyDescent="0.35">
      <c r="D141" s="23" t="s">
        <v>379</v>
      </c>
      <c r="E141" s="23"/>
      <c r="F141" s="23"/>
      <c r="G141" s="23"/>
      <c r="H141" s="23"/>
      <c r="I141" s="23"/>
      <c r="J141" s="23"/>
      <c r="K141" s="23"/>
    </row>
    <row r="142" spans="1:12" ht="15" customHeight="1" x14ac:dyDescent="0.35">
      <c r="D142" s="23" t="s">
        <v>380</v>
      </c>
      <c r="E142" s="23"/>
      <c r="F142" s="23"/>
      <c r="G142" s="23"/>
      <c r="H142" s="23"/>
      <c r="I142" s="23"/>
      <c r="J142" s="23"/>
      <c r="K142" s="23"/>
    </row>
    <row r="143" spans="1:12" ht="15" customHeight="1" x14ac:dyDescent="0.35">
      <c r="D143" s="22"/>
      <c r="E143" s="22"/>
      <c r="F143" s="22"/>
      <c r="G143" s="22"/>
      <c r="H143" s="22"/>
      <c r="I143" s="22"/>
      <c r="J143" s="22"/>
      <c r="K143" s="22"/>
    </row>
    <row r="144" spans="1:12" ht="15" customHeight="1" x14ac:dyDescent="0.35">
      <c r="D144" s="22"/>
      <c r="E144" s="22"/>
      <c r="F144" s="22"/>
      <c r="G144" s="22"/>
      <c r="H144" s="22"/>
      <c r="I144" s="22"/>
      <c r="J144" s="22"/>
      <c r="K144" s="22"/>
    </row>
    <row r="145" spans="4:11" ht="15" customHeight="1" x14ac:dyDescent="0.35">
      <c r="D145" s="23" t="s">
        <v>381</v>
      </c>
      <c r="E145" s="23"/>
      <c r="F145" s="23"/>
      <c r="G145" s="23"/>
      <c r="H145" s="23"/>
      <c r="I145" s="23"/>
      <c r="J145" s="23"/>
      <c r="K145" s="23"/>
    </row>
  </sheetData>
  <mergeCells count="12">
    <mergeCell ref="D1:K1"/>
    <mergeCell ref="D3:D4"/>
    <mergeCell ref="D139:K139"/>
    <mergeCell ref="D140:K140"/>
    <mergeCell ref="D141:K141"/>
    <mergeCell ref="D142:K142"/>
    <mergeCell ref="D145:K145"/>
    <mergeCell ref="L3:L4"/>
    <mergeCell ref="E3:E4"/>
    <mergeCell ref="F3:G3"/>
    <mergeCell ref="H3:J3"/>
    <mergeCell ref="K3:K4"/>
  </mergeCells>
  <printOptions horizontalCentered="1"/>
  <pageMargins left="0" right="0" top="0.59055118110236227" bottom="0.59055118110236227" header="0.31496062992125984" footer="0.31496062992125984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ALL!Print_Titles</vt:lpstr>
    </vt:vector>
  </TitlesOfParts>
  <Company>Parliamentary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Clemo</dc:creator>
  <cp:lastModifiedBy>Joanne Whyte</cp:lastModifiedBy>
  <cp:lastPrinted>2026-02-25T01:48:45Z</cp:lastPrinted>
  <dcterms:created xsi:type="dcterms:W3CDTF">2025-11-25T01:14:34Z</dcterms:created>
  <dcterms:modified xsi:type="dcterms:W3CDTF">2026-02-25T01:49:21Z</dcterms:modified>
</cp:coreProperties>
</file>