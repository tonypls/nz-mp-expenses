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jade_yang_parliament_govt_nz/Documents/Downloads/"/>
    </mc:Choice>
  </mc:AlternateContent>
  <xr:revisionPtr revIDLastSave="2" documentId="8_{55D60319-BC81-47CB-9E2F-25F5FE6917A7}" xr6:coauthVersionLast="47" xr6:coauthVersionMax="47" xr10:uidLastSave="{AAADAE08-2774-44C8-A9D2-6C3123115762}"/>
  <bookViews>
    <workbookView xWindow="5445" yWindow="-19245" windowWidth="23310" windowHeight="17355" xr2:uid="{3F4F69DA-FA97-48DC-9FCA-0E8132BCD83B}"/>
  </bookViews>
  <sheets>
    <sheet name="All Parties" sheetId="1" r:id="rId1"/>
  </sheets>
  <externalReferences>
    <externalReference r:id="rId2"/>
    <externalReference r:id="rId3"/>
  </externalReferences>
  <definedNames>
    <definedName name="Crown_Act">#REF!</definedName>
    <definedName name="Crown_CC">'[1]Cost Centres ALL'!#REF!</definedName>
    <definedName name="FINANCIALS_PC_53RDPowerExlRange01">[2]Sheet1!$A$4,[2]Sheet1!$B$4</definedName>
    <definedName name="FINANCIALS_PC_53RDPowerExlRange02">[2]Sheet1!$C$4,[2]Sheet1!$D$4</definedName>
    <definedName name="FINANCIALS_PC_53RDPowerExlRange03">[2]Sheet1!$E$4,[2]Sheet1!$F$4</definedName>
    <definedName name="FINANCIALS_PC_53RDPowerExlRange04">[2]Sheet1!$G$4,[2]Sheet1!$H$4</definedName>
    <definedName name="Natural">#REF!</definedName>
    <definedName name="OOC_Act">#REF!</definedName>
    <definedName name="OOC_CC">'[1]Cost Centres ALL'!#REF!</definedName>
    <definedName name="PCO_Act">#REF!</definedName>
    <definedName name="PCO_CC">'[1]Cost Centres ALL'!#REF!</definedName>
    <definedName name="_xlnm.Print_Titles" localSheetId="0">'All Parties'!$1:$4</definedName>
    <definedName name="PS_Act">#REF!</definedName>
    <definedName name="PS_CC">'[1]Cost Centres ALL'!#REF!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" i="1" l="1"/>
  <c r="I113" i="1"/>
  <c r="I129" i="1" s="1"/>
  <c r="I94" i="1"/>
  <c r="I91" i="1"/>
  <c r="I87" i="1"/>
  <c r="I81" i="1"/>
  <c r="I76" i="1"/>
  <c r="I71" i="1"/>
  <c r="I28" i="1"/>
  <c r="I24" i="1"/>
  <c r="I25" i="1" s="1"/>
  <c r="I15" i="1"/>
  <c r="I131" i="1" s="1"/>
</calcChain>
</file>

<file path=xl/sharedStrings.xml><?xml version="1.0" encoding="utf-8"?>
<sst xmlns="http://schemas.openxmlformats.org/spreadsheetml/2006/main" count="151" uniqueCount="148">
  <si>
    <t>Members Expense Disclosure - July to September 2023</t>
  </si>
  <si>
    <t>Party</t>
  </si>
  <si>
    <t>Member</t>
  </si>
  <si>
    <t>Accommodation</t>
  </si>
  <si>
    <t>Travel</t>
  </si>
  <si>
    <t>Grand Total</t>
  </si>
  <si>
    <t>Inter-Parliamentary Office of the Clerk</t>
  </si>
  <si>
    <t>Wellington</t>
  </si>
  <si>
    <t>Non Wellington</t>
  </si>
  <si>
    <t>Air</t>
  </si>
  <si>
    <t>Surface</t>
  </si>
  <si>
    <t>VIP Transport</t>
  </si>
  <si>
    <t>Act</t>
  </si>
  <si>
    <t>Baillie, Chris</t>
  </si>
  <si>
    <t>Cameron, Mark</t>
  </si>
  <si>
    <t>Chhour, Karen</t>
  </si>
  <si>
    <t>Court, Simon</t>
  </si>
  <si>
    <t>McDowall, James</t>
  </si>
  <si>
    <t>McKee, Nicole</t>
  </si>
  <si>
    <t>Severin, Toni</t>
  </si>
  <si>
    <t>Seymour, David</t>
  </si>
  <si>
    <t>Smith, Damien</t>
  </si>
  <si>
    <t>van Velden, Brooke</t>
  </si>
  <si>
    <t>Act Total</t>
  </si>
  <si>
    <t>Green</t>
  </si>
  <si>
    <t>Davidson, Marama</t>
  </si>
  <si>
    <t>Genter, Julie Anne</t>
  </si>
  <si>
    <t>Ghahraman, Golriz</t>
  </si>
  <si>
    <t>Logie, Jan</t>
  </si>
  <si>
    <t xml:space="preserve">Menéndez March, Ricardo </t>
  </si>
  <si>
    <t>Sage, Eugenie</t>
  </si>
  <si>
    <t>Shaw, James</t>
  </si>
  <si>
    <t>Swarbrick, Chlöe</t>
  </si>
  <si>
    <t xml:space="preserve">Tuiono, Teanau </t>
  </si>
  <si>
    <t>Green Total</t>
  </si>
  <si>
    <t>Independent</t>
  </si>
  <si>
    <t xml:space="preserve">Kerekere, Elizabeth </t>
  </si>
  <si>
    <t xml:space="preserve">Whaitiri, Meka </t>
  </si>
  <si>
    <t>Independent Total</t>
  </si>
  <si>
    <t>Labour</t>
  </si>
  <si>
    <t>Allan, Kiri</t>
  </si>
  <si>
    <t xml:space="preserve">Andersen, Ginny </t>
  </si>
  <si>
    <t>Belich, Camilla</t>
  </si>
  <si>
    <t xml:space="preserve">Bennett, Glen </t>
  </si>
  <si>
    <t>Boyack, Rachel</t>
  </si>
  <si>
    <t>Brooking, Rachel</t>
  </si>
  <si>
    <t>Chen, Naisi (3)</t>
  </si>
  <si>
    <t>Clark, David</t>
  </si>
  <si>
    <t>Coffey, Tamati</t>
  </si>
  <si>
    <t>Craig, Liz</t>
  </si>
  <si>
    <t>Davis, Kelvin</t>
  </si>
  <si>
    <t xml:space="preserve">Eagle, Paul </t>
  </si>
  <si>
    <t>Edmonds, Barbara</t>
  </si>
  <si>
    <t>Halbert, Shanan</t>
  </si>
  <si>
    <t>Henare, Peeni</t>
  </si>
  <si>
    <t>Henderson, Emily</t>
  </si>
  <si>
    <t>Hipkins, Chris</t>
  </si>
  <si>
    <t>Jackson, Willie</t>
  </si>
  <si>
    <t>Kanongata'A, Anahila</t>
  </si>
  <si>
    <t>Leary, Ingrid</t>
  </si>
  <si>
    <t>Leavasa, Anae Neru</t>
  </si>
  <si>
    <t>Lewis, Steph</t>
  </si>
  <si>
    <t>Little, Andrew</t>
  </si>
  <si>
    <t>Lorck, Anna</t>
  </si>
  <si>
    <t xml:space="preserve">Lubeck, Marja </t>
  </si>
  <si>
    <t>Luxton, Jo</t>
  </si>
  <si>
    <t>Mahuta, Nanaia</t>
  </si>
  <si>
    <t>McAnulty, Kieran</t>
  </si>
  <si>
    <t>McLellan, Tracey</t>
  </si>
  <si>
    <t>Nash, Stuart</t>
  </si>
  <si>
    <t>Ngobi, Terisa</t>
  </si>
  <si>
    <t>O'Connor, Damien</t>
  </si>
  <si>
    <t>O'Connor, Greg (1)</t>
  </si>
  <si>
    <t>Omer, Ibrahim</t>
  </si>
  <si>
    <t>Pallett, Sarah</t>
  </si>
  <si>
    <t>Parker, David</t>
  </si>
  <si>
    <t>Peke-Mason, Soraya</t>
  </si>
  <si>
    <t>Prime, Willow-Jean</t>
  </si>
  <si>
    <t xml:space="preserve">Radhakrishnan, Priyanca </t>
  </si>
  <si>
    <t xml:space="preserve">Roberts, Angela </t>
  </si>
  <si>
    <t>Rosewarne, Dan</t>
  </si>
  <si>
    <t>Robertson, Grant</t>
  </si>
  <si>
    <t>Rurawhe, Adrian (1) (2) (4)</t>
  </si>
  <si>
    <t xml:space="preserve">Russell, Deborah </t>
  </si>
  <si>
    <t>Salesa, Jenny</t>
  </si>
  <si>
    <t>Sepuloni, Carmel</t>
  </si>
  <si>
    <t>Sio, Aupito William (5)</t>
  </si>
  <si>
    <t>Sosene, Lemauga Lydia (3)</t>
  </si>
  <si>
    <t>Strange, Jamie</t>
  </si>
  <si>
    <t>Tinetti, Jan</t>
  </si>
  <si>
    <t xml:space="preserve">Tirikatene, Rino </t>
  </si>
  <si>
    <t>Twyford, Phil</t>
  </si>
  <si>
    <t>Utikere, Tangi</t>
  </si>
  <si>
    <t>Verrall, Ayesha</t>
  </si>
  <si>
    <t>Walters, Vanushi</t>
  </si>
  <si>
    <t>Warren-Clark, Angie (4)</t>
  </si>
  <si>
    <t>Webb, Duncan</t>
  </si>
  <si>
    <t>White, Helen</t>
  </si>
  <si>
    <t>Williams, Arena</t>
  </si>
  <si>
    <t>Williams, Poto</t>
  </si>
  <si>
    <t>Wood, Michael</t>
  </si>
  <si>
    <t>Woods, Megan</t>
  </si>
  <si>
    <t>Labour Total</t>
  </si>
  <si>
    <t>Waititi, Rawiri (3) (5)</t>
  </si>
  <si>
    <t xml:space="preserve">Ngarewa-Packer, Debbie </t>
  </si>
  <si>
    <t>National</t>
  </si>
  <si>
    <t>Bayly, Andrew (5)</t>
  </si>
  <si>
    <t xml:space="preserve">Bennett, David </t>
  </si>
  <si>
    <t>Bishop, Chris</t>
  </si>
  <si>
    <t>Brown, Simeon</t>
  </si>
  <si>
    <t>Brownlee, Gerry</t>
  </si>
  <si>
    <t>Collins, Judith (5)</t>
  </si>
  <si>
    <t>Dean, Jacqui (5)</t>
  </si>
  <si>
    <t>Doocey, Matt</t>
  </si>
  <si>
    <t>Goldsmith, Paul</t>
  </si>
  <si>
    <t xml:space="preserve">Grigg, Nicola </t>
  </si>
  <si>
    <t xml:space="preserve">Hipango, Harete </t>
  </si>
  <si>
    <t xml:space="preserve">Kuriger, Barbara </t>
  </si>
  <si>
    <t xml:space="preserve">Lee, Melissa </t>
  </si>
  <si>
    <t>Luxon, Christopher (1)</t>
  </si>
  <si>
    <t>McClay, Todd</t>
  </si>
  <si>
    <t xml:space="preserve">McKelvie, Ian </t>
  </si>
  <si>
    <t>Mitchell, Mark (5)</t>
  </si>
  <si>
    <t xml:space="preserve">Mooney, Joseph </t>
  </si>
  <si>
    <t>Muller, Todd</t>
  </si>
  <si>
    <t>O'Connor, Simon</t>
  </si>
  <si>
    <t>Penk, Chris</t>
  </si>
  <si>
    <t>Potaka, Tama</t>
  </si>
  <si>
    <t>Pugh, Maureen</t>
  </si>
  <si>
    <t>Reti, Shane</t>
  </si>
  <si>
    <t>Simmonds, Penny</t>
  </si>
  <si>
    <t>Simpson, Scott (3)</t>
  </si>
  <si>
    <t xml:space="preserve">Smith, Stuart </t>
  </si>
  <si>
    <t>Stanford, Erica</t>
  </si>
  <si>
    <t>Uffindell, Sam</t>
  </si>
  <si>
    <t>Upston, Louise</t>
  </si>
  <si>
    <t>van de Molen, Tim</t>
  </si>
  <si>
    <t>Watts, Simon</t>
  </si>
  <si>
    <t xml:space="preserve">Willis, Nicola </t>
  </si>
  <si>
    <t>Woodhouse, Michael</t>
  </si>
  <si>
    <t>National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</si>
  <si>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</si>
  <si>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</si>
  <si>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</si>
  <si>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Non-Wellington accommodation total includes costs that relate to a previous quarter and processed in the current quarter.</t>
  </si>
  <si>
    <t>5) Surface Travel total includes costs that relate to a previous quarter and processed in the current quarter.</t>
  </si>
  <si>
    <t>Te Pāti Māori</t>
  </si>
  <si>
    <t>Te Pāti Māori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</si>
</sst>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4">
    <xf numFmtId="0" fontId="0" fillId="0" borderId="0" xfId="0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2" borderId="2" xfId="1" applyNumberFormat="1" applyFont="1" applyFill="1" applyBorder="1" applyAlignment="1">
      <alignment horizontal="left" vertical="center"/>
    </xf>
    <xf numFmtId="0" fontId="3" fillId="2" borderId="9" xfId="1" applyNumberFormat="1" applyFont="1" applyFill="1" applyBorder="1" applyAlignment="1">
      <alignment horizontal="left" vertical="center"/>
    </xf>
    <xf numFmtId="3" fontId="3" fillId="2" borderId="9" xfId="3" applyNumberFormat="1" applyFill="1" applyBorder="1" applyAlignment="1">
      <alignment horizontal="right"/>
    </xf>
    <xf numFmtId="41" fontId="0" fillId="2" borderId="9" xfId="2" applyFont="1" applyFill="1" applyBorder="1" applyAlignment="1">
      <alignment horizontal="right"/>
    </xf>
    <xf numFmtId="164" fontId="4" fillId="2" borderId="9" xfId="1" applyNumberFormat="1" applyFont="1" applyFill="1" applyBorder="1" applyAlignment="1">
      <alignment vertical="center"/>
    </xf>
    <xf numFmtId="0" fontId="3" fillId="2" borderId="9" xfId="1" applyNumberFormat="1" applyFont="1" applyFill="1" applyBorder="1" applyAlignment="1">
      <alignment horizontal="left"/>
    </xf>
    <xf numFmtId="0" fontId="4" fillId="2" borderId="7" xfId="1" applyNumberFormat="1" applyFont="1" applyFill="1" applyBorder="1" applyAlignment="1">
      <alignment vertical="center"/>
    </xf>
    <xf numFmtId="0" fontId="4" fillId="2" borderId="7" xfId="1" applyNumberFormat="1" applyFont="1" applyFill="1" applyBorder="1" applyAlignment="1">
      <alignment horizontal="left"/>
    </xf>
    <xf numFmtId="3" fontId="4" fillId="2" borderId="7" xfId="1" applyNumberFormat="1" applyFont="1" applyFill="1" applyBorder="1" applyAlignment="1">
      <alignment horizontal="right"/>
    </xf>
    <xf numFmtId="41" fontId="0" fillId="2" borderId="7" xfId="2" applyFont="1" applyFill="1" applyBorder="1" applyAlignment="1">
      <alignment horizontal="right"/>
    </xf>
    <xf numFmtId="164" fontId="3" fillId="2" borderId="9" xfId="1" applyNumberFormat="1" applyFont="1" applyFill="1" applyBorder="1"/>
    <xf numFmtId="165" fontId="3" fillId="2" borderId="9" xfId="3" applyNumberFormat="1" applyFill="1" applyBorder="1"/>
    <xf numFmtId="0" fontId="4" fillId="2" borderId="7" xfId="1" applyNumberFormat="1" applyFont="1" applyFill="1" applyBorder="1" applyAlignment="1">
      <alignment horizontal="left" vertical="center"/>
    </xf>
    <xf numFmtId="166" fontId="3" fillId="2" borderId="10" xfId="3" applyNumberFormat="1" applyFill="1" applyBorder="1"/>
    <xf numFmtId="166" fontId="3" fillId="2" borderId="11" xfId="3" applyNumberFormat="1" applyFill="1" applyBorder="1"/>
    <xf numFmtId="164" fontId="4" fillId="2" borderId="7" xfId="1" applyNumberFormat="1" applyFont="1" applyFill="1" applyBorder="1"/>
    <xf numFmtId="0" fontId="0" fillId="2" borderId="9" xfId="0" applyFill="1" applyBorder="1"/>
    <xf numFmtId="0" fontId="0" fillId="2" borderId="7" xfId="0" applyFill="1" applyBorder="1"/>
    <xf numFmtId="164" fontId="4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0" fontId="0" fillId="2" borderId="0" xfId="0" applyFill="1"/>
    <xf numFmtId="0" fontId="4" fillId="2" borderId="0" xfId="3" applyFont="1" applyFill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0" xfId="0" applyFill="1" applyAlignment="1">
      <alignment horizontal="justify" vertical="top" wrapText="1"/>
    </xf>
  </cellXfs>
  <cellStyles count="4">
    <cellStyle name="Comma" xfId="1" builtinId="3"/>
    <cellStyle name="Comma [0]" xfId="2" builtinId="6"/>
    <cellStyle name="Normal" xfId="0" builtinId="0"/>
    <cellStyle name="Normal 2" xfId="3" xr:uid="{3CF0BA2D-1BCA-44FD-9D22-81D97C9FA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3-24\1st%20Quarter\Quarter%201%202024%20Members%20Expenditure%20Disclosure%20Revi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Adjustments"/>
      <sheetName val="MV Exp and Diesel"/>
      <sheetName val="Tech1 July to Sep 23"/>
      <sheetName val="International Travel Q1 FY24"/>
      <sheetName val="Sheet2"/>
      <sheetName val="Sheet1"/>
      <sheetName val="Cost Centres ALL"/>
      <sheetName val="SPK CHM LOP Q2"/>
      <sheetName val="VIP Split"/>
      <sheetName val="Additional support Adj"/>
      <sheetName val="Domestic Accommodation checks"/>
      <sheetName val="International Travel Q4"/>
      <sheetName val="SPK CHM LOP Q4"/>
      <sheetName val="SPK CHM LOP Q1 FY24"/>
      <sheetName val="Balance check"/>
      <sheetName val="Cost centres ALL 2"/>
      <sheetName val="Cost Centre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C134-7298-4512-86C4-C8CB52DF7EB8}">
  <sheetPr>
    <pageSetUpPr fitToPage="1"/>
  </sheetPr>
  <dimension ref="A1:I137"/>
  <sheetViews>
    <sheetView tabSelected="1" workbookViewId="0">
      <pane ySplit="4" topLeftCell="A5" activePane="bottomLeft" state="frozen"/>
      <selection pane="bottomLeft" sqref="A1:I2"/>
    </sheetView>
  </sheetViews>
  <sheetFormatPr defaultRowHeight="14.5" x14ac:dyDescent="0.35"/>
  <cols>
    <col min="1" max="1" width="19.90625" bestFit="1" customWidth="1"/>
    <col min="2" max="2" width="24.453125" bestFit="1" customWidth="1"/>
    <col min="3" max="3" width="11.453125" bestFit="1" customWidth="1"/>
    <col min="4" max="4" width="14.54296875" bestFit="1" customWidth="1"/>
    <col min="5" max="5" width="8.6328125" bestFit="1" customWidth="1"/>
    <col min="7" max="7" width="14.08984375" bestFit="1" customWidth="1"/>
    <col min="8" max="8" width="11.7265625" bestFit="1" customWidth="1"/>
    <col min="9" max="9" width="35.1796875" bestFit="1" customWidth="1"/>
  </cols>
  <sheetData>
    <row r="1" spans="1:9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5" thickBot="1" x14ac:dyDescent="0.4">
      <c r="A2" s="25"/>
      <c r="B2" s="25"/>
      <c r="C2" s="25"/>
      <c r="D2" s="25"/>
      <c r="E2" s="25"/>
      <c r="F2" s="25"/>
      <c r="G2" s="25"/>
      <c r="H2" s="25"/>
      <c r="I2" s="25"/>
    </row>
    <row r="3" spans="1:9" ht="15" customHeight="1" thickBot="1" x14ac:dyDescent="0.4">
      <c r="A3" s="26" t="s">
        <v>1</v>
      </c>
      <c r="B3" s="26" t="s">
        <v>2</v>
      </c>
      <c r="C3" s="28" t="s">
        <v>3</v>
      </c>
      <c r="D3" s="29"/>
      <c r="E3" s="28" t="s">
        <v>4</v>
      </c>
      <c r="F3" s="30"/>
      <c r="G3" s="29"/>
      <c r="H3" s="31" t="s">
        <v>5</v>
      </c>
      <c r="I3" s="31" t="s">
        <v>6</v>
      </c>
    </row>
    <row r="4" spans="1:9" ht="15" customHeight="1" thickBot="1" x14ac:dyDescent="0.4">
      <c r="A4" s="27"/>
      <c r="B4" s="27"/>
      <c r="C4" s="1" t="s">
        <v>7</v>
      </c>
      <c r="D4" s="2" t="s">
        <v>8</v>
      </c>
      <c r="E4" s="1" t="s">
        <v>9</v>
      </c>
      <c r="F4" s="1" t="s">
        <v>10</v>
      </c>
      <c r="G4" s="1" t="s">
        <v>11</v>
      </c>
      <c r="H4" s="32" t="s">
        <v>5</v>
      </c>
      <c r="I4" s="32" t="s">
        <v>5</v>
      </c>
    </row>
    <row r="5" spans="1:9" x14ac:dyDescent="0.35">
      <c r="A5" s="3" t="s">
        <v>12</v>
      </c>
      <c r="B5" s="4" t="s">
        <v>13</v>
      </c>
      <c r="C5" s="5">
        <v>8323.2800000000007</v>
      </c>
      <c r="D5" s="5">
        <v>2555.9299999999998</v>
      </c>
      <c r="E5" s="5">
        <v>8079.94</v>
      </c>
      <c r="F5" s="5">
        <v>1769.8</v>
      </c>
      <c r="G5" s="6">
        <v>0</v>
      </c>
      <c r="H5" s="5">
        <v>20728.95</v>
      </c>
      <c r="I5" s="6">
        <v>0</v>
      </c>
    </row>
    <row r="6" spans="1:9" x14ac:dyDescent="0.35">
      <c r="A6" s="7"/>
      <c r="B6" s="8" t="s">
        <v>14</v>
      </c>
      <c r="C6" s="5">
        <v>8323.2800000000007</v>
      </c>
      <c r="D6" s="5">
        <v>3572.85</v>
      </c>
      <c r="E6" s="5">
        <v>4649.33</v>
      </c>
      <c r="F6" s="5">
        <v>8137.53</v>
      </c>
      <c r="G6" s="6">
        <v>0</v>
      </c>
      <c r="H6" s="5">
        <v>24682.989999999998</v>
      </c>
      <c r="I6" s="6">
        <v>0</v>
      </c>
    </row>
    <row r="7" spans="1:9" x14ac:dyDescent="0.35">
      <c r="A7" s="7"/>
      <c r="B7" s="8" t="s">
        <v>15</v>
      </c>
      <c r="C7" s="5">
        <v>8323.2800000000007</v>
      </c>
      <c r="D7" s="5">
        <v>1311.59</v>
      </c>
      <c r="E7" s="5">
        <v>9638.51</v>
      </c>
      <c r="F7" s="5">
        <v>6723.28</v>
      </c>
      <c r="G7" s="6">
        <v>0</v>
      </c>
      <c r="H7" s="5">
        <v>25996.66</v>
      </c>
      <c r="I7" s="6">
        <v>0</v>
      </c>
    </row>
    <row r="8" spans="1:9" x14ac:dyDescent="0.35">
      <c r="A8" s="7"/>
      <c r="B8" s="8" t="s">
        <v>16</v>
      </c>
      <c r="C8" s="5">
        <v>8323.2800000000007</v>
      </c>
      <c r="D8" s="5">
        <v>1293.3699999999999</v>
      </c>
      <c r="E8" s="5">
        <v>10694.41</v>
      </c>
      <c r="F8" s="5">
        <v>3768.47</v>
      </c>
      <c r="G8" s="6">
        <v>0</v>
      </c>
      <c r="H8" s="5">
        <v>24079.530000000002</v>
      </c>
      <c r="I8" s="6">
        <v>0</v>
      </c>
    </row>
    <row r="9" spans="1:9" x14ac:dyDescent="0.35">
      <c r="A9" s="7"/>
      <c r="B9" s="8" t="s">
        <v>17</v>
      </c>
      <c r="C9" s="6">
        <v>0</v>
      </c>
      <c r="D9" s="5">
        <v>1426.47</v>
      </c>
      <c r="E9" s="5">
        <v>2195.9299999999998</v>
      </c>
      <c r="F9" s="5">
        <v>890.14</v>
      </c>
      <c r="G9" s="6">
        <v>0</v>
      </c>
      <c r="H9" s="5">
        <v>4512.54</v>
      </c>
      <c r="I9" s="6">
        <v>0</v>
      </c>
    </row>
    <row r="10" spans="1:9" x14ac:dyDescent="0.35">
      <c r="A10" s="7"/>
      <c r="B10" s="8" t="s">
        <v>18</v>
      </c>
      <c r="C10" s="6">
        <v>0</v>
      </c>
      <c r="D10" s="5">
        <v>4586.63</v>
      </c>
      <c r="E10" s="5">
        <v>3966.54</v>
      </c>
      <c r="F10" s="5">
        <v>5044.3900000000003</v>
      </c>
      <c r="G10" s="6">
        <v>0</v>
      </c>
      <c r="H10" s="5">
        <v>13597.560000000001</v>
      </c>
      <c r="I10" s="6">
        <v>0</v>
      </c>
    </row>
    <row r="11" spans="1:9" x14ac:dyDescent="0.35">
      <c r="A11" s="7"/>
      <c r="B11" s="8" t="s">
        <v>19</v>
      </c>
      <c r="C11" s="5">
        <v>8323.2800000000007</v>
      </c>
      <c r="D11" s="5">
        <v>1798.47</v>
      </c>
      <c r="E11" s="5">
        <v>6816.72</v>
      </c>
      <c r="F11" s="5">
        <v>1577.53</v>
      </c>
      <c r="G11" s="6">
        <v>0</v>
      </c>
      <c r="H11" s="5">
        <v>18516</v>
      </c>
      <c r="I11" s="6">
        <v>0</v>
      </c>
    </row>
    <row r="12" spans="1:9" x14ac:dyDescent="0.35">
      <c r="A12" s="7"/>
      <c r="B12" s="8" t="s">
        <v>20</v>
      </c>
      <c r="C12" s="5">
        <v>7420</v>
      </c>
      <c r="D12" s="5">
        <v>1408.85</v>
      </c>
      <c r="E12" s="5">
        <v>12428.61</v>
      </c>
      <c r="F12" s="5">
        <v>6002.25</v>
      </c>
      <c r="G12" s="6">
        <v>0</v>
      </c>
      <c r="H12" s="5">
        <v>27259.71</v>
      </c>
      <c r="I12" s="6">
        <v>0</v>
      </c>
    </row>
    <row r="13" spans="1:9" x14ac:dyDescent="0.35">
      <c r="A13" s="7"/>
      <c r="B13" s="8" t="s">
        <v>21</v>
      </c>
      <c r="C13" s="5">
        <v>8323.2800000000007</v>
      </c>
      <c r="D13" s="6">
        <v>0</v>
      </c>
      <c r="E13" s="5">
        <v>4215.3900000000003</v>
      </c>
      <c r="F13" s="5">
        <v>2998.58</v>
      </c>
      <c r="G13" s="6">
        <v>0</v>
      </c>
      <c r="H13" s="5">
        <v>15537.250000000002</v>
      </c>
      <c r="I13" s="6">
        <v>0</v>
      </c>
    </row>
    <row r="14" spans="1:9" ht="15" thickBot="1" x14ac:dyDescent="0.4">
      <c r="A14" s="7"/>
      <c r="B14" s="8" t="s">
        <v>22</v>
      </c>
      <c r="C14" s="5">
        <v>4577.79</v>
      </c>
      <c r="D14" s="5">
        <v>473.85</v>
      </c>
      <c r="E14" s="5">
        <v>5811.99</v>
      </c>
      <c r="F14" s="5">
        <v>3537.08</v>
      </c>
      <c r="G14" s="6">
        <v>0</v>
      </c>
      <c r="H14" s="5">
        <v>14400.710000000001</v>
      </c>
      <c r="I14" s="6">
        <v>0</v>
      </c>
    </row>
    <row r="15" spans="1:9" ht="15" thickBot="1" x14ac:dyDescent="0.4">
      <c r="A15" s="9" t="s">
        <v>23</v>
      </c>
      <c r="B15" s="10"/>
      <c r="C15" s="11">
        <v>61937.47</v>
      </c>
      <c r="D15" s="11">
        <v>18428.009999999998</v>
      </c>
      <c r="E15" s="11">
        <v>68497.37000000001</v>
      </c>
      <c r="F15" s="11">
        <v>40449.050000000003</v>
      </c>
      <c r="G15" s="12">
        <v>0</v>
      </c>
      <c r="H15" s="11">
        <v>189311.90000000002</v>
      </c>
      <c r="I15" s="12">
        <f>SUM(I5:I14)</f>
        <v>0</v>
      </c>
    </row>
    <row r="16" spans="1:9" x14ac:dyDescent="0.35">
      <c r="A16" s="3" t="s">
        <v>24</v>
      </c>
      <c r="B16" s="8" t="s">
        <v>25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</row>
    <row r="17" spans="1:9" x14ac:dyDescent="0.35">
      <c r="A17" s="13"/>
      <c r="B17" s="8" t="s">
        <v>26</v>
      </c>
      <c r="C17" s="6">
        <v>0</v>
      </c>
      <c r="D17" s="5">
        <v>1529.57</v>
      </c>
      <c r="E17" s="5">
        <v>4379.34</v>
      </c>
      <c r="F17" s="5">
        <v>1293.69</v>
      </c>
      <c r="G17" s="6">
        <v>0</v>
      </c>
      <c r="H17" s="5">
        <v>7202.6</v>
      </c>
      <c r="I17" s="6">
        <v>0</v>
      </c>
    </row>
    <row r="18" spans="1:9" x14ac:dyDescent="0.35">
      <c r="A18" s="13"/>
      <c r="B18" s="8" t="s">
        <v>27</v>
      </c>
      <c r="C18" s="5">
        <v>5463.67</v>
      </c>
      <c r="D18" s="6">
        <v>0</v>
      </c>
      <c r="E18" s="5">
        <v>6965.21</v>
      </c>
      <c r="F18" s="5">
        <v>4803.6499999999996</v>
      </c>
      <c r="G18" s="6">
        <v>0</v>
      </c>
      <c r="H18" s="5">
        <v>17232.53</v>
      </c>
      <c r="I18" s="6">
        <v>0</v>
      </c>
    </row>
    <row r="19" spans="1:9" x14ac:dyDescent="0.35">
      <c r="A19" s="13"/>
      <c r="B19" s="8" t="s">
        <v>28</v>
      </c>
      <c r="C19" s="6">
        <v>0</v>
      </c>
      <c r="D19" s="5">
        <v>2500.19</v>
      </c>
      <c r="E19" s="5">
        <v>3543.18</v>
      </c>
      <c r="F19" s="5">
        <v>3182.69</v>
      </c>
      <c r="G19" s="6">
        <v>0</v>
      </c>
      <c r="H19" s="5">
        <v>9226.06</v>
      </c>
      <c r="I19" s="6">
        <v>0</v>
      </c>
    </row>
    <row r="20" spans="1:9" x14ac:dyDescent="0.35">
      <c r="A20" s="13"/>
      <c r="B20" s="8" t="s">
        <v>29</v>
      </c>
      <c r="C20" s="5">
        <v>8323.2800000000007</v>
      </c>
      <c r="D20" s="14">
        <v>0</v>
      </c>
      <c r="E20" s="5">
        <v>4656.8599999999997</v>
      </c>
      <c r="F20" s="5">
        <v>1532.9</v>
      </c>
      <c r="G20" s="6">
        <v>0</v>
      </c>
      <c r="H20" s="5">
        <v>14513.039999999999</v>
      </c>
      <c r="I20" s="6">
        <v>0</v>
      </c>
    </row>
    <row r="21" spans="1:9" x14ac:dyDescent="0.35">
      <c r="A21" s="13"/>
      <c r="B21" s="8" t="s">
        <v>30</v>
      </c>
      <c r="C21" s="5">
        <v>5826.31</v>
      </c>
      <c r="D21" s="5">
        <v>1092.18</v>
      </c>
      <c r="E21" s="5">
        <v>7279.36</v>
      </c>
      <c r="F21" s="5">
        <v>3759.73</v>
      </c>
      <c r="G21" s="6">
        <v>0</v>
      </c>
      <c r="H21" s="5">
        <v>17957.580000000002</v>
      </c>
      <c r="I21" s="6">
        <v>0</v>
      </c>
    </row>
    <row r="22" spans="1:9" x14ac:dyDescent="0.35">
      <c r="A22" s="13"/>
      <c r="B22" s="8" t="s">
        <v>31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</row>
    <row r="23" spans="1:9" x14ac:dyDescent="0.35">
      <c r="A23" s="13"/>
      <c r="B23" s="8" t="s">
        <v>32</v>
      </c>
      <c r="C23" s="5">
        <v>6571.29</v>
      </c>
      <c r="D23" s="5">
        <v>721.79</v>
      </c>
      <c r="E23" s="5">
        <v>6405.95</v>
      </c>
      <c r="F23" s="5">
        <v>4025.33</v>
      </c>
      <c r="G23" s="6">
        <v>0</v>
      </c>
      <c r="H23" s="5">
        <v>17724.36</v>
      </c>
      <c r="I23" s="6">
        <v>0</v>
      </c>
    </row>
    <row r="24" spans="1:9" ht="15" thickBot="1" x14ac:dyDescent="0.4">
      <c r="A24" s="13"/>
      <c r="B24" s="8" t="s">
        <v>33</v>
      </c>
      <c r="C24" s="5">
        <v>2048.87</v>
      </c>
      <c r="D24" s="14">
        <v>0</v>
      </c>
      <c r="E24" s="5">
        <v>11397.730000000001</v>
      </c>
      <c r="F24" s="5">
        <v>1951.19</v>
      </c>
      <c r="G24" s="6">
        <v>0</v>
      </c>
      <c r="H24" s="5">
        <v>15397.790000000003</v>
      </c>
      <c r="I24" s="5">
        <f>3540.82</f>
        <v>3540.82</v>
      </c>
    </row>
    <row r="25" spans="1:9" ht="15" thickBot="1" x14ac:dyDescent="0.4">
      <c r="A25" s="15" t="s">
        <v>34</v>
      </c>
      <c r="B25" s="10"/>
      <c r="C25" s="11">
        <v>28233.420000000002</v>
      </c>
      <c r="D25" s="11">
        <v>5843.7300000000005</v>
      </c>
      <c r="E25" s="11">
        <v>44627.630000000005</v>
      </c>
      <c r="F25" s="11">
        <v>20549.179999999997</v>
      </c>
      <c r="G25" s="12">
        <v>0</v>
      </c>
      <c r="H25" s="11">
        <v>99253.959999999992</v>
      </c>
      <c r="I25" s="11">
        <f>SUM(I16:I24)</f>
        <v>3540.82</v>
      </c>
    </row>
    <row r="26" spans="1:9" x14ac:dyDescent="0.35">
      <c r="A26" s="3" t="s">
        <v>35</v>
      </c>
      <c r="B26" s="8" t="s">
        <v>36</v>
      </c>
      <c r="C26" s="5">
        <v>8323.2800000000007</v>
      </c>
      <c r="D26" s="5">
        <v>2697.54</v>
      </c>
      <c r="E26" s="5">
        <v>12221.369999999999</v>
      </c>
      <c r="F26" s="5">
        <v>4122.5199999999995</v>
      </c>
      <c r="G26" s="6">
        <v>0</v>
      </c>
      <c r="H26" s="5">
        <v>27364.71</v>
      </c>
      <c r="I26" s="16">
        <v>0</v>
      </c>
    </row>
    <row r="27" spans="1:9" ht="15" thickBot="1" x14ac:dyDescent="0.4">
      <c r="A27" s="13"/>
      <c r="B27" s="8" t="s">
        <v>37</v>
      </c>
      <c r="C27" s="5">
        <v>4993.9399999999996</v>
      </c>
      <c r="D27" s="5">
        <v>2588.9</v>
      </c>
      <c r="E27" s="5">
        <v>9554.19</v>
      </c>
      <c r="F27" s="5">
        <v>4820.01</v>
      </c>
      <c r="G27" s="6">
        <v>0</v>
      </c>
      <c r="H27" s="5">
        <v>21957.040000000001</v>
      </c>
      <c r="I27" s="16">
        <v>0</v>
      </c>
    </row>
    <row r="28" spans="1:9" ht="15" thickBot="1" x14ac:dyDescent="0.4">
      <c r="A28" s="15" t="s">
        <v>38</v>
      </c>
      <c r="B28" s="10"/>
      <c r="C28" s="11">
        <v>13317.220000000001</v>
      </c>
      <c r="D28" s="11">
        <v>5286.4400000000005</v>
      </c>
      <c r="E28" s="11">
        <v>21775.559999999998</v>
      </c>
      <c r="F28" s="11">
        <v>8942.5299999999988</v>
      </c>
      <c r="G28" s="12">
        <v>0</v>
      </c>
      <c r="H28" s="11">
        <v>49321.75</v>
      </c>
      <c r="I28" s="12">
        <f>SUM(I26:I27)</f>
        <v>0</v>
      </c>
    </row>
    <row r="29" spans="1:9" x14ac:dyDescent="0.35">
      <c r="A29" s="3" t="s">
        <v>39</v>
      </c>
      <c r="B29" s="8" t="s">
        <v>40</v>
      </c>
      <c r="C29" s="5">
        <v>5265.75</v>
      </c>
      <c r="D29" s="6">
        <v>0</v>
      </c>
      <c r="E29" s="5">
        <v>2464.11</v>
      </c>
      <c r="F29" s="5">
        <v>222.55</v>
      </c>
      <c r="G29" s="6">
        <v>0</v>
      </c>
      <c r="H29" s="5">
        <v>7952.4100000000008</v>
      </c>
      <c r="I29" s="6">
        <v>0</v>
      </c>
    </row>
    <row r="30" spans="1:9" x14ac:dyDescent="0.35">
      <c r="A30" s="13"/>
      <c r="B30" s="8" t="s">
        <v>41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</row>
    <row r="31" spans="1:9" x14ac:dyDescent="0.35">
      <c r="A31" s="13"/>
      <c r="B31" s="8" t="s">
        <v>42</v>
      </c>
      <c r="C31" s="5">
        <v>3533.92</v>
      </c>
      <c r="D31" s="6">
        <v>0</v>
      </c>
      <c r="E31" s="5">
        <v>4389.43</v>
      </c>
      <c r="F31" s="5">
        <v>3042.42</v>
      </c>
      <c r="G31" s="6">
        <v>0</v>
      </c>
      <c r="H31" s="5">
        <v>10965.77</v>
      </c>
      <c r="I31" s="6">
        <v>0</v>
      </c>
    </row>
    <row r="32" spans="1:9" x14ac:dyDescent="0.35">
      <c r="A32" s="13"/>
      <c r="B32" s="8" t="s">
        <v>43</v>
      </c>
      <c r="C32" s="5">
        <v>8323.2800000000007</v>
      </c>
      <c r="D32" s="5">
        <v>964</v>
      </c>
      <c r="E32" s="5">
        <v>5666.22</v>
      </c>
      <c r="F32" s="5">
        <v>1586.86</v>
      </c>
      <c r="G32" s="6">
        <v>0</v>
      </c>
      <c r="H32" s="5">
        <v>16540.36</v>
      </c>
      <c r="I32" s="6">
        <v>0</v>
      </c>
    </row>
    <row r="33" spans="1:9" x14ac:dyDescent="0.35">
      <c r="A33" s="13"/>
      <c r="B33" s="8" t="s">
        <v>44</v>
      </c>
      <c r="C33" s="5">
        <v>8323.2800000000007</v>
      </c>
      <c r="D33" s="5">
        <v>426.7</v>
      </c>
      <c r="E33" s="5">
        <v>3700.21</v>
      </c>
      <c r="F33" s="5">
        <v>3265.05</v>
      </c>
      <c r="G33" s="6">
        <v>0</v>
      </c>
      <c r="H33" s="5">
        <v>15715.240000000002</v>
      </c>
      <c r="I33" s="6">
        <v>0</v>
      </c>
    </row>
    <row r="34" spans="1:9" x14ac:dyDescent="0.35">
      <c r="A34" s="13"/>
      <c r="B34" s="8" t="s">
        <v>45</v>
      </c>
      <c r="C34" s="5">
        <v>1698.79</v>
      </c>
      <c r="D34" s="5">
        <v>674.09</v>
      </c>
      <c r="E34" s="6">
        <v>0</v>
      </c>
      <c r="F34" s="5">
        <v>76.3</v>
      </c>
      <c r="G34" s="6">
        <v>0</v>
      </c>
      <c r="H34" s="5">
        <v>2449.1800000000003</v>
      </c>
      <c r="I34" s="6">
        <v>0</v>
      </c>
    </row>
    <row r="35" spans="1:9" x14ac:dyDescent="0.35">
      <c r="A35" s="13"/>
      <c r="B35" s="8" t="s">
        <v>46</v>
      </c>
      <c r="C35" s="5">
        <v>8531.98</v>
      </c>
      <c r="D35" s="6">
        <v>0</v>
      </c>
      <c r="E35" s="5">
        <v>8977.56</v>
      </c>
      <c r="F35" s="5">
        <v>1840.47</v>
      </c>
      <c r="G35" s="6">
        <v>0</v>
      </c>
      <c r="H35" s="5">
        <v>19350.010000000002</v>
      </c>
      <c r="I35" s="6">
        <v>0</v>
      </c>
    </row>
    <row r="36" spans="1:9" x14ac:dyDescent="0.35">
      <c r="A36" s="13"/>
      <c r="B36" s="8" t="s">
        <v>47</v>
      </c>
      <c r="C36" s="5">
        <v>8323.2800000000007</v>
      </c>
      <c r="D36" s="5">
        <v>411.13</v>
      </c>
      <c r="E36" s="5">
        <v>11820.1</v>
      </c>
      <c r="F36" s="5">
        <v>4838.38</v>
      </c>
      <c r="G36" s="6">
        <v>0</v>
      </c>
      <c r="H36" s="5">
        <v>25392.890000000003</v>
      </c>
      <c r="I36" s="6">
        <v>0</v>
      </c>
    </row>
    <row r="37" spans="1:9" x14ac:dyDescent="0.35">
      <c r="A37" s="13"/>
      <c r="B37" s="8" t="s">
        <v>48</v>
      </c>
      <c r="C37" s="5">
        <v>5522.77</v>
      </c>
      <c r="D37" s="5">
        <v>1024.53</v>
      </c>
      <c r="E37" s="5">
        <v>9013.5499999999993</v>
      </c>
      <c r="F37" s="5">
        <v>3220.88</v>
      </c>
      <c r="G37" s="6">
        <v>0</v>
      </c>
      <c r="H37" s="5">
        <v>18781.73</v>
      </c>
      <c r="I37" s="6">
        <v>0</v>
      </c>
    </row>
    <row r="38" spans="1:9" x14ac:dyDescent="0.35">
      <c r="A38" s="13"/>
      <c r="B38" s="8" t="s">
        <v>49</v>
      </c>
      <c r="C38" s="5">
        <v>8323.2800000000007</v>
      </c>
      <c r="D38" s="6">
        <v>0</v>
      </c>
      <c r="E38" s="5">
        <v>3568.45</v>
      </c>
      <c r="F38" s="5">
        <v>672.72</v>
      </c>
      <c r="G38" s="6">
        <v>0</v>
      </c>
      <c r="H38" s="5">
        <v>12564.449999999999</v>
      </c>
      <c r="I38" s="6">
        <v>0</v>
      </c>
    </row>
    <row r="39" spans="1:9" x14ac:dyDescent="0.35">
      <c r="A39" s="13"/>
      <c r="B39" s="8" t="s">
        <v>50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</row>
    <row r="40" spans="1:9" x14ac:dyDescent="0.35">
      <c r="A40" s="13"/>
      <c r="B40" s="8" t="s">
        <v>51</v>
      </c>
      <c r="C40" s="6">
        <v>0</v>
      </c>
      <c r="D40" s="5">
        <v>3749.71</v>
      </c>
      <c r="E40" s="5">
        <v>12135.65</v>
      </c>
      <c r="F40" s="5">
        <v>5957.1</v>
      </c>
      <c r="G40" s="6">
        <v>0</v>
      </c>
      <c r="H40" s="5">
        <v>21842.46</v>
      </c>
      <c r="I40" s="6">
        <v>0</v>
      </c>
    </row>
    <row r="41" spans="1:9" x14ac:dyDescent="0.35">
      <c r="A41" s="13"/>
      <c r="B41" s="8" t="s">
        <v>52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x14ac:dyDescent="0.35">
      <c r="A42" s="13"/>
      <c r="B42" s="8" t="s">
        <v>53</v>
      </c>
      <c r="C42" s="5">
        <v>8323.2800000000007</v>
      </c>
      <c r="D42" s="5">
        <v>211.83</v>
      </c>
      <c r="E42" s="5">
        <v>4113.08</v>
      </c>
      <c r="F42" s="5">
        <v>3929.84</v>
      </c>
      <c r="G42" s="6">
        <v>0</v>
      </c>
      <c r="H42" s="5">
        <v>16578.03</v>
      </c>
      <c r="I42" s="6">
        <v>0</v>
      </c>
    </row>
    <row r="43" spans="1:9" x14ac:dyDescent="0.35">
      <c r="A43" s="13"/>
      <c r="B43" s="8" t="s">
        <v>54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</row>
    <row r="44" spans="1:9" x14ac:dyDescent="0.35">
      <c r="A44" s="13"/>
      <c r="B44" s="8" t="s">
        <v>55</v>
      </c>
      <c r="C44" s="5">
        <v>5826.31</v>
      </c>
      <c r="D44" s="5">
        <v>339.13</v>
      </c>
      <c r="E44" s="5">
        <v>6077.32</v>
      </c>
      <c r="F44" s="5">
        <v>4418.66</v>
      </c>
      <c r="G44" s="6">
        <v>0</v>
      </c>
      <c r="H44" s="5">
        <v>16661.419999999998</v>
      </c>
      <c r="I44" s="6">
        <v>0</v>
      </c>
    </row>
    <row r="45" spans="1:9" x14ac:dyDescent="0.35">
      <c r="A45" s="13"/>
      <c r="B45" s="8" t="s">
        <v>56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 x14ac:dyDescent="0.35">
      <c r="A46" s="13"/>
      <c r="B46" s="8" t="s">
        <v>57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35">
      <c r="A47" s="13"/>
      <c r="B47" s="8" t="s">
        <v>58</v>
      </c>
      <c r="C47" s="5">
        <v>8323.2800000000007</v>
      </c>
      <c r="D47" s="5">
        <v>1368.16</v>
      </c>
      <c r="E47" s="5">
        <v>8627.14</v>
      </c>
      <c r="F47" s="5">
        <v>4798.25</v>
      </c>
      <c r="G47" s="6">
        <v>0</v>
      </c>
      <c r="H47" s="5">
        <v>23116.83</v>
      </c>
      <c r="I47" s="6">
        <v>0</v>
      </c>
    </row>
    <row r="48" spans="1:9" x14ac:dyDescent="0.35">
      <c r="A48" s="13"/>
      <c r="B48" s="8" t="s">
        <v>59</v>
      </c>
      <c r="C48" s="5">
        <v>8323.2800000000007</v>
      </c>
      <c r="D48" s="5">
        <v>153</v>
      </c>
      <c r="E48" s="5">
        <v>9175.4700000000012</v>
      </c>
      <c r="F48" s="5">
        <v>5906.91</v>
      </c>
      <c r="G48" s="6">
        <v>0</v>
      </c>
      <c r="H48" s="5">
        <v>23558.66</v>
      </c>
      <c r="I48" s="6">
        <v>0</v>
      </c>
    </row>
    <row r="49" spans="1:9" x14ac:dyDescent="0.35">
      <c r="A49" s="13"/>
      <c r="B49" s="8" t="s">
        <v>60</v>
      </c>
      <c r="C49" s="5">
        <v>8323.2800000000007</v>
      </c>
      <c r="D49" s="5">
        <v>524.69000000000005</v>
      </c>
      <c r="E49" s="5">
        <v>9317.14</v>
      </c>
      <c r="F49" s="5">
        <v>4917.71</v>
      </c>
      <c r="G49" s="6">
        <v>0</v>
      </c>
      <c r="H49" s="5">
        <v>23082.82</v>
      </c>
      <c r="I49" s="6">
        <v>0</v>
      </c>
    </row>
    <row r="50" spans="1:9" x14ac:dyDescent="0.35">
      <c r="A50" s="13"/>
      <c r="B50" s="8" t="s">
        <v>61</v>
      </c>
      <c r="C50" s="5">
        <v>8323.2800000000007</v>
      </c>
      <c r="D50" s="6">
        <v>0</v>
      </c>
      <c r="E50" s="6">
        <v>0</v>
      </c>
      <c r="F50" s="5">
        <v>2079.0100000000002</v>
      </c>
      <c r="G50" s="6">
        <v>0</v>
      </c>
      <c r="H50" s="5">
        <v>10402.290000000001</v>
      </c>
      <c r="I50" s="6">
        <v>0</v>
      </c>
    </row>
    <row r="51" spans="1:9" x14ac:dyDescent="0.35">
      <c r="A51" s="13"/>
      <c r="B51" s="8" t="s">
        <v>62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</row>
    <row r="52" spans="1:9" x14ac:dyDescent="0.35">
      <c r="A52" s="13"/>
      <c r="B52" s="8" t="s">
        <v>63</v>
      </c>
      <c r="C52" s="5">
        <v>8323.2800000000007</v>
      </c>
      <c r="D52" s="5">
        <v>173.91</v>
      </c>
      <c r="E52" s="5">
        <v>4657.6899999999996</v>
      </c>
      <c r="F52" s="5">
        <v>5119.8599999999997</v>
      </c>
      <c r="G52" s="6">
        <v>0</v>
      </c>
      <c r="H52" s="5">
        <v>18274.740000000002</v>
      </c>
      <c r="I52" s="6">
        <v>0</v>
      </c>
    </row>
    <row r="53" spans="1:9" x14ac:dyDescent="0.35">
      <c r="A53" s="13"/>
      <c r="B53" s="8" t="s">
        <v>64</v>
      </c>
      <c r="C53" s="5">
        <v>7134.24</v>
      </c>
      <c r="D53" s="5">
        <v>922.3</v>
      </c>
      <c r="E53" s="5">
        <v>5700.5</v>
      </c>
      <c r="F53" s="5">
        <v>4913.93</v>
      </c>
      <c r="G53" s="6">
        <v>0</v>
      </c>
      <c r="H53" s="5">
        <v>18670.97</v>
      </c>
      <c r="I53" s="6">
        <v>0</v>
      </c>
    </row>
    <row r="54" spans="1:9" x14ac:dyDescent="0.35">
      <c r="A54" s="13"/>
      <c r="B54" s="8" t="s">
        <v>65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</row>
    <row r="55" spans="1:9" x14ac:dyDescent="0.35">
      <c r="A55" s="13"/>
      <c r="B55" s="8" t="s">
        <v>66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</row>
    <row r="56" spans="1:9" x14ac:dyDescent="0.35">
      <c r="A56" s="13"/>
      <c r="B56" s="8" t="s">
        <v>67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</row>
    <row r="57" spans="1:9" x14ac:dyDescent="0.35">
      <c r="A57" s="13"/>
      <c r="B57" s="8" t="s">
        <v>68</v>
      </c>
      <c r="C57" s="5">
        <v>8323.2800000000007</v>
      </c>
      <c r="D57" s="6">
        <v>0</v>
      </c>
      <c r="E57" s="5">
        <v>3097.99</v>
      </c>
      <c r="F57" s="5">
        <v>2538.27</v>
      </c>
      <c r="G57" s="6">
        <v>0</v>
      </c>
      <c r="H57" s="5">
        <v>13959.54</v>
      </c>
      <c r="I57" s="6">
        <v>0</v>
      </c>
    </row>
    <row r="58" spans="1:9" x14ac:dyDescent="0.35">
      <c r="A58" s="13"/>
      <c r="B58" s="8" t="s">
        <v>69</v>
      </c>
      <c r="C58" s="5">
        <v>8323.2800000000007</v>
      </c>
      <c r="D58" s="5">
        <v>639.27</v>
      </c>
      <c r="E58" s="5">
        <v>7538.05</v>
      </c>
      <c r="F58" s="5">
        <v>3395.3</v>
      </c>
      <c r="G58" s="6">
        <v>0</v>
      </c>
      <c r="H58" s="5">
        <v>19895.900000000001</v>
      </c>
      <c r="I58" s="6">
        <v>0</v>
      </c>
    </row>
    <row r="59" spans="1:9" x14ac:dyDescent="0.35">
      <c r="A59" s="13"/>
      <c r="B59" s="8" t="s">
        <v>70</v>
      </c>
      <c r="C59" s="5">
        <v>3140</v>
      </c>
      <c r="D59" s="5">
        <v>1344.42</v>
      </c>
      <c r="E59" s="5">
        <v>7461.62</v>
      </c>
      <c r="F59" s="5">
        <v>5663.19</v>
      </c>
      <c r="G59" s="6">
        <v>0</v>
      </c>
      <c r="H59" s="5">
        <v>17609.23</v>
      </c>
      <c r="I59" s="6">
        <v>0</v>
      </c>
    </row>
    <row r="60" spans="1:9" x14ac:dyDescent="0.35">
      <c r="A60" s="13"/>
      <c r="B60" s="8" t="s">
        <v>71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</row>
    <row r="61" spans="1:9" x14ac:dyDescent="0.35">
      <c r="A61" s="13"/>
      <c r="B61" s="8" t="s">
        <v>72</v>
      </c>
      <c r="C61" s="6">
        <v>0</v>
      </c>
      <c r="D61" s="5">
        <v>146.96</v>
      </c>
      <c r="E61" s="5">
        <v>1074.6600000000001</v>
      </c>
      <c r="F61" s="5">
        <v>1032.22</v>
      </c>
      <c r="G61" s="6">
        <v>0</v>
      </c>
      <c r="H61" s="5">
        <v>2253.84</v>
      </c>
      <c r="I61" s="6">
        <v>0</v>
      </c>
    </row>
    <row r="62" spans="1:9" x14ac:dyDescent="0.35">
      <c r="A62" s="13"/>
      <c r="B62" s="8" t="s">
        <v>73</v>
      </c>
      <c r="C62" s="5">
        <v>3142.46</v>
      </c>
      <c r="D62" s="5">
        <v>1700.95</v>
      </c>
      <c r="E62" s="5">
        <v>2831.37</v>
      </c>
      <c r="F62" s="5">
        <v>1662.27</v>
      </c>
      <c r="G62" s="6">
        <v>0</v>
      </c>
      <c r="H62" s="5">
        <v>9337.0499999999993</v>
      </c>
      <c r="I62" s="6">
        <v>0</v>
      </c>
    </row>
    <row r="63" spans="1:9" x14ac:dyDescent="0.35">
      <c r="A63" s="13"/>
      <c r="B63" s="8" t="s">
        <v>74</v>
      </c>
      <c r="C63" s="5">
        <v>8323.2800000000007</v>
      </c>
      <c r="D63" s="6">
        <v>0</v>
      </c>
      <c r="E63" s="5">
        <v>3772.65</v>
      </c>
      <c r="F63" s="5">
        <v>2517.16</v>
      </c>
      <c r="G63" s="6">
        <v>0</v>
      </c>
      <c r="H63" s="5">
        <v>14613.09</v>
      </c>
      <c r="I63" s="6">
        <v>0</v>
      </c>
    </row>
    <row r="64" spans="1:9" x14ac:dyDescent="0.35">
      <c r="A64" s="13"/>
      <c r="B64" s="8" t="s">
        <v>75</v>
      </c>
      <c r="C64" s="6">
        <v>0</v>
      </c>
      <c r="D64" s="6">
        <v>0</v>
      </c>
      <c r="E64" s="14">
        <v>0</v>
      </c>
      <c r="F64" s="14">
        <v>0</v>
      </c>
      <c r="G64" s="6">
        <v>0</v>
      </c>
      <c r="H64" s="17">
        <v>0</v>
      </c>
      <c r="I64" s="6">
        <v>0</v>
      </c>
    </row>
    <row r="65" spans="1:9" x14ac:dyDescent="0.35">
      <c r="A65" s="13"/>
      <c r="B65" s="8" t="s">
        <v>76</v>
      </c>
      <c r="C65" s="5">
        <v>8323.2800000000007</v>
      </c>
      <c r="D65" s="5">
        <v>760.77</v>
      </c>
      <c r="E65" s="5">
        <v>2498.96</v>
      </c>
      <c r="F65" s="5">
        <v>3921.64</v>
      </c>
      <c r="G65" s="6">
        <v>0</v>
      </c>
      <c r="H65" s="5">
        <v>15504.650000000001</v>
      </c>
      <c r="I65" s="6">
        <v>0</v>
      </c>
    </row>
    <row r="66" spans="1:9" x14ac:dyDescent="0.35">
      <c r="A66" s="13"/>
      <c r="B66" s="8" t="s">
        <v>77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17">
        <v>0</v>
      </c>
      <c r="I66" s="6">
        <v>0</v>
      </c>
    </row>
    <row r="67" spans="1:9" x14ac:dyDescent="0.35">
      <c r="A67" s="13"/>
      <c r="B67" s="8" t="s">
        <v>78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17">
        <v>0</v>
      </c>
      <c r="I67" s="6">
        <v>0</v>
      </c>
    </row>
    <row r="68" spans="1:9" x14ac:dyDescent="0.35">
      <c r="A68" s="13"/>
      <c r="B68" s="8" t="s">
        <v>79</v>
      </c>
      <c r="C68" s="5">
        <v>8323.2800000000007</v>
      </c>
      <c r="D68" s="5">
        <v>556.52</v>
      </c>
      <c r="E68" s="5">
        <v>7754.17</v>
      </c>
      <c r="F68" s="5">
        <v>1473.96</v>
      </c>
      <c r="G68" s="6">
        <v>0</v>
      </c>
      <c r="H68" s="5">
        <v>18107.93</v>
      </c>
      <c r="I68" s="6">
        <v>0</v>
      </c>
    </row>
    <row r="69" spans="1:9" x14ac:dyDescent="0.35">
      <c r="A69" s="13"/>
      <c r="B69" s="8" t="s">
        <v>80</v>
      </c>
      <c r="C69" s="5">
        <v>3725.2</v>
      </c>
      <c r="D69" s="5">
        <v>139.13</v>
      </c>
      <c r="E69" s="5">
        <v>4093.45</v>
      </c>
      <c r="F69" s="5">
        <v>3532.9</v>
      </c>
      <c r="G69" s="6">
        <v>0</v>
      </c>
      <c r="H69" s="5">
        <v>11490.68</v>
      </c>
      <c r="I69" s="6">
        <v>0</v>
      </c>
    </row>
    <row r="70" spans="1:9" x14ac:dyDescent="0.35">
      <c r="A70" s="13"/>
      <c r="B70" s="8" t="s">
        <v>81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</row>
    <row r="71" spans="1:9" x14ac:dyDescent="0.35">
      <c r="A71" s="13"/>
      <c r="B71" s="8" t="s">
        <v>82</v>
      </c>
      <c r="C71" s="5">
        <v>12082.21</v>
      </c>
      <c r="D71" s="5">
        <v>7820.5300000000007</v>
      </c>
      <c r="E71" s="5">
        <v>3039.03</v>
      </c>
      <c r="F71" s="5">
        <v>5114.0199999999995</v>
      </c>
      <c r="G71" s="5">
        <v>4439.99</v>
      </c>
      <c r="H71" s="5">
        <v>32495.78</v>
      </c>
      <c r="I71" s="5">
        <f>3329.25+3696.63</f>
        <v>7025.88</v>
      </c>
    </row>
    <row r="72" spans="1:9" x14ac:dyDescent="0.35">
      <c r="A72" s="13"/>
      <c r="B72" s="8" t="s">
        <v>83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</row>
    <row r="73" spans="1:9" x14ac:dyDescent="0.35">
      <c r="A73" s="13"/>
      <c r="B73" s="8" t="s">
        <v>84</v>
      </c>
      <c r="C73" s="5">
        <v>8323.2800000000007</v>
      </c>
      <c r="D73" s="6">
        <v>0</v>
      </c>
      <c r="E73" s="5">
        <v>2642.74</v>
      </c>
      <c r="F73" s="5">
        <v>1385.96</v>
      </c>
      <c r="G73" s="6">
        <v>0</v>
      </c>
      <c r="H73" s="5">
        <v>12351.98</v>
      </c>
      <c r="I73" s="6">
        <v>0</v>
      </c>
    </row>
    <row r="74" spans="1:9" x14ac:dyDescent="0.35">
      <c r="A74" s="13"/>
      <c r="B74" s="8" t="s">
        <v>85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</row>
    <row r="75" spans="1:9" x14ac:dyDescent="0.35">
      <c r="A75" s="13"/>
      <c r="B75" s="8" t="s">
        <v>86</v>
      </c>
      <c r="C75" s="5">
        <v>7860.03</v>
      </c>
      <c r="D75" s="14">
        <v>0</v>
      </c>
      <c r="E75" s="5">
        <v>11514.880000000001</v>
      </c>
      <c r="F75" s="5">
        <v>17176.5</v>
      </c>
      <c r="G75" s="6">
        <v>0</v>
      </c>
      <c r="H75" s="5">
        <v>36551.410000000003</v>
      </c>
      <c r="I75" s="6">
        <v>0</v>
      </c>
    </row>
    <row r="76" spans="1:9" x14ac:dyDescent="0.35">
      <c r="A76" s="13"/>
      <c r="B76" s="8" t="s">
        <v>87</v>
      </c>
      <c r="C76" s="5">
        <v>9294.76</v>
      </c>
      <c r="D76" s="5">
        <v>165.22</v>
      </c>
      <c r="E76" s="5">
        <v>4243.9399999999996</v>
      </c>
      <c r="F76" s="5">
        <v>2891.4</v>
      </c>
      <c r="G76" s="6">
        <v>0</v>
      </c>
      <c r="H76" s="5">
        <v>16595.32</v>
      </c>
      <c r="I76" s="5">
        <f>3249.89</f>
        <v>3249.89</v>
      </c>
    </row>
    <row r="77" spans="1:9" x14ac:dyDescent="0.35">
      <c r="A77" s="13"/>
      <c r="B77" s="8" t="s">
        <v>88</v>
      </c>
      <c r="C77" s="5">
        <v>8323.2800000000007</v>
      </c>
      <c r="D77" s="5">
        <v>897.39</v>
      </c>
      <c r="E77" s="5">
        <v>6568.39</v>
      </c>
      <c r="F77" s="5">
        <v>4487.66</v>
      </c>
      <c r="G77" s="6">
        <v>0</v>
      </c>
      <c r="H77" s="5">
        <v>20276.72</v>
      </c>
      <c r="I77" s="6">
        <v>0</v>
      </c>
    </row>
    <row r="78" spans="1:9" x14ac:dyDescent="0.35">
      <c r="A78" s="13"/>
      <c r="B78" s="8" t="s">
        <v>89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</row>
    <row r="79" spans="1:9" x14ac:dyDescent="0.35">
      <c r="A79" s="13"/>
      <c r="B79" s="8" t="s">
        <v>90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</row>
    <row r="80" spans="1:9" x14ac:dyDescent="0.35">
      <c r="A80" s="13"/>
      <c r="B80" s="8" t="s">
        <v>91</v>
      </c>
      <c r="C80" s="5">
        <v>8323.2800000000007</v>
      </c>
      <c r="D80" s="6">
        <v>0</v>
      </c>
      <c r="E80" s="5">
        <v>3375.82</v>
      </c>
      <c r="F80" s="5">
        <v>3978.36</v>
      </c>
      <c r="G80" s="6">
        <v>0</v>
      </c>
      <c r="H80" s="5">
        <v>15677.460000000001</v>
      </c>
      <c r="I80" s="6">
        <v>0</v>
      </c>
    </row>
    <row r="81" spans="1:9" x14ac:dyDescent="0.35">
      <c r="A81" s="13"/>
      <c r="B81" s="8" t="s">
        <v>92</v>
      </c>
      <c r="C81" s="5">
        <v>8323.2800000000007</v>
      </c>
      <c r="D81" s="5">
        <v>1570.26</v>
      </c>
      <c r="E81" s="5">
        <v>6192.93</v>
      </c>
      <c r="F81" s="5">
        <v>3213.62</v>
      </c>
      <c r="G81" s="6">
        <v>0</v>
      </c>
      <c r="H81" s="5">
        <v>19300.09</v>
      </c>
      <c r="I81" s="5">
        <f>3324.88+2686.91</f>
        <v>6011.79</v>
      </c>
    </row>
    <row r="82" spans="1:9" x14ac:dyDescent="0.35">
      <c r="A82" s="13"/>
      <c r="B82" s="8" t="s">
        <v>93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</row>
    <row r="83" spans="1:9" x14ac:dyDescent="0.35">
      <c r="A83" s="13"/>
      <c r="B83" s="8" t="s">
        <v>94</v>
      </c>
      <c r="C83" s="5">
        <v>8323.2800000000007</v>
      </c>
      <c r="D83" s="6">
        <v>0</v>
      </c>
      <c r="E83" s="5">
        <v>6794.95</v>
      </c>
      <c r="F83" s="5">
        <v>3935.44</v>
      </c>
      <c r="G83" s="6">
        <v>0</v>
      </c>
      <c r="H83" s="5">
        <v>19053.669999999998</v>
      </c>
      <c r="I83" s="6">
        <v>0</v>
      </c>
    </row>
    <row r="84" spans="1:9" x14ac:dyDescent="0.35">
      <c r="A84" s="13"/>
      <c r="B84" s="8" t="s">
        <v>95</v>
      </c>
      <c r="C84" s="5">
        <v>8323.2800000000007</v>
      </c>
      <c r="D84" s="5">
        <v>3243.9</v>
      </c>
      <c r="E84" s="5">
        <v>7433.6</v>
      </c>
      <c r="F84" s="5">
        <v>3382.85</v>
      </c>
      <c r="G84" s="6">
        <v>0</v>
      </c>
      <c r="H84" s="5">
        <v>22383.629999999997</v>
      </c>
      <c r="I84" s="6">
        <v>0</v>
      </c>
    </row>
    <row r="85" spans="1:9" x14ac:dyDescent="0.35">
      <c r="A85" s="13"/>
      <c r="B85" s="8" t="s">
        <v>96</v>
      </c>
      <c r="C85" s="6">
        <v>0</v>
      </c>
      <c r="D85" s="6">
        <v>0</v>
      </c>
      <c r="E85" s="6">
        <v>0</v>
      </c>
      <c r="F85" s="5">
        <v>926.1</v>
      </c>
      <c r="G85" s="6">
        <v>0</v>
      </c>
      <c r="H85" s="5">
        <v>926.1</v>
      </c>
      <c r="I85" s="6">
        <v>0</v>
      </c>
    </row>
    <row r="86" spans="1:9" x14ac:dyDescent="0.35">
      <c r="A86" s="13"/>
      <c r="B86" s="8" t="s">
        <v>97</v>
      </c>
      <c r="C86" s="5">
        <v>8323.2800000000007</v>
      </c>
      <c r="D86" s="6">
        <v>0</v>
      </c>
      <c r="E86" s="5">
        <v>2910.41</v>
      </c>
      <c r="F86" s="5">
        <v>2318.13</v>
      </c>
      <c r="G86" s="6">
        <v>0</v>
      </c>
      <c r="H86" s="5">
        <v>13551.82</v>
      </c>
      <c r="I86" s="6">
        <v>0</v>
      </c>
    </row>
    <row r="87" spans="1:9" x14ac:dyDescent="0.35">
      <c r="A87" s="13"/>
      <c r="B87" s="8" t="s">
        <v>98</v>
      </c>
      <c r="C87" s="5">
        <v>8323.2800000000007</v>
      </c>
      <c r="D87" s="5">
        <v>146.35</v>
      </c>
      <c r="E87" s="5">
        <v>10798.1</v>
      </c>
      <c r="F87" s="5">
        <v>771.82</v>
      </c>
      <c r="G87" s="6">
        <v>0</v>
      </c>
      <c r="H87" s="5">
        <v>20039.550000000003</v>
      </c>
      <c r="I87" s="5">
        <f>647.17</f>
        <v>647.16999999999996</v>
      </c>
    </row>
    <row r="88" spans="1:9" x14ac:dyDescent="0.35">
      <c r="A88" s="13"/>
      <c r="B88" s="8" t="s">
        <v>99</v>
      </c>
      <c r="C88" s="5">
        <v>8323.2800000000007</v>
      </c>
      <c r="D88" s="6">
        <v>0</v>
      </c>
      <c r="E88" s="5">
        <v>3986.44</v>
      </c>
      <c r="F88" s="5">
        <v>2835.22</v>
      </c>
      <c r="G88" s="6">
        <v>0</v>
      </c>
      <c r="H88" s="5">
        <v>15144.94</v>
      </c>
      <c r="I88" s="6">
        <v>0</v>
      </c>
    </row>
    <row r="89" spans="1:9" x14ac:dyDescent="0.35">
      <c r="A89" s="13"/>
      <c r="B89" s="8" t="s">
        <v>100</v>
      </c>
      <c r="C89" s="5">
        <v>5647.95</v>
      </c>
      <c r="D89" s="6">
        <v>0</v>
      </c>
      <c r="E89" s="5">
        <v>2772.6</v>
      </c>
      <c r="F89" s="5">
        <v>2042.98</v>
      </c>
      <c r="G89" s="6">
        <v>0</v>
      </c>
      <c r="H89" s="5">
        <v>10463.529999999999</v>
      </c>
      <c r="I89" s="6">
        <v>0</v>
      </c>
    </row>
    <row r="90" spans="1:9" ht="15" thickBot="1" x14ac:dyDescent="0.4">
      <c r="A90" s="13"/>
      <c r="B90" s="8" t="s">
        <v>101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</row>
    <row r="91" spans="1:9" ht="15" thickBot="1" x14ac:dyDescent="0.4">
      <c r="A91" s="15" t="s">
        <v>102</v>
      </c>
      <c r="B91" s="10"/>
      <c r="C91" s="11">
        <v>282165.09000000003</v>
      </c>
      <c r="D91" s="11">
        <v>30074.850000000002</v>
      </c>
      <c r="E91" s="11">
        <v>221800.37000000005</v>
      </c>
      <c r="F91" s="11">
        <v>141003.87000000005</v>
      </c>
      <c r="G91" s="11">
        <v>4439.99</v>
      </c>
      <c r="H91" s="11">
        <v>679484.17000000016</v>
      </c>
      <c r="I91" s="11">
        <f>SUM(I29:I90)</f>
        <v>16934.73</v>
      </c>
    </row>
    <row r="92" spans="1:9" x14ac:dyDescent="0.35">
      <c r="A92" s="3" t="s">
        <v>146</v>
      </c>
      <c r="B92" s="8" t="s">
        <v>103</v>
      </c>
      <c r="C92" s="5">
        <v>9174.76</v>
      </c>
      <c r="D92" s="5">
        <v>2799.1</v>
      </c>
      <c r="E92" s="5">
        <v>14505.3</v>
      </c>
      <c r="F92" s="5">
        <v>21926.6</v>
      </c>
      <c r="G92" s="6">
        <v>0</v>
      </c>
      <c r="H92" s="5">
        <v>48405.759999999995</v>
      </c>
      <c r="I92" s="16">
        <v>0</v>
      </c>
    </row>
    <row r="93" spans="1:9" ht="15" thickBot="1" x14ac:dyDescent="0.4">
      <c r="A93" s="13"/>
      <c r="B93" s="8" t="s">
        <v>104</v>
      </c>
      <c r="C93" s="5">
        <v>8669.19</v>
      </c>
      <c r="D93" s="5">
        <v>3041.49</v>
      </c>
      <c r="E93" s="5">
        <v>8192.83</v>
      </c>
      <c r="F93" s="5">
        <v>576.63</v>
      </c>
      <c r="G93" s="6">
        <v>0</v>
      </c>
      <c r="H93" s="5">
        <v>20480.140000000003</v>
      </c>
      <c r="I93" s="16">
        <v>0</v>
      </c>
    </row>
    <row r="94" spans="1:9" ht="15" thickBot="1" x14ac:dyDescent="0.4">
      <c r="A94" s="15" t="s">
        <v>147</v>
      </c>
      <c r="B94" s="10"/>
      <c r="C94" s="11">
        <v>17843.95</v>
      </c>
      <c r="D94" s="11">
        <v>5840.59</v>
      </c>
      <c r="E94" s="11">
        <v>22698.129999999997</v>
      </c>
      <c r="F94" s="11">
        <v>22503.23</v>
      </c>
      <c r="G94" s="12">
        <v>0</v>
      </c>
      <c r="H94" s="11">
        <v>68885.899999999994</v>
      </c>
      <c r="I94" s="12">
        <f>SUM(I92:I93)</f>
        <v>0</v>
      </c>
    </row>
    <row r="95" spans="1:9" x14ac:dyDescent="0.35">
      <c r="A95" s="3" t="s">
        <v>105</v>
      </c>
      <c r="B95" s="8" t="s">
        <v>106</v>
      </c>
      <c r="C95" s="5">
        <v>8323.2800000000007</v>
      </c>
      <c r="D95" s="5">
        <v>1278.81</v>
      </c>
      <c r="E95" s="5">
        <v>12083.45</v>
      </c>
      <c r="F95" s="5">
        <v>14383.09</v>
      </c>
      <c r="G95" s="6">
        <v>0</v>
      </c>
      <c r="H95" s="5">
        <v>36068.630000000005</v>
      </c>
      <c r="I95" s="16">
        <v>0</v>
      </c>
    </row>
    <row r="96" spans="1:9" x14ac:dyDescent="0.35">
      <c r="A96" s="13"/>
      <c r="B96" s="8" t="s">
        <v>107</v>
      </c>
      <c r="C96" s="5">
        <v>3599.83</v>
      </c>
      <c r="D96" s="6">
        <v>0</v>
      </c>
      <c r="E96" s="5">
        <v>4140.49</v>
      </c>
      <c r="F96" s="5">
        <v>5920.01</v>
      </c>
      <c r="G96" s="6">
        <v>0</v>
      </c>
      <c r="H96" s="5">
        <v>13660.33</v>
      </c>
      <c r="I96" s="16">
        <v>0</v>
      </c>
    </row>
    <row r="97" spans="1:9" x14ac:dyDescent="0.35">
      <c r="A97" s="13"/>
      <c r="B97" s="8" t="s">
        <v>108</v>
      </c>
      <c r="C97" s="6">
        <v>0</v>
      </c>
      <c r="D97" s="5">
        <v>1302.69</v>
      </c>
      <c r="E97" s="5">
        <v>13123.18</v>
      </c>
      <c r="F97" s="5">
        <v>8216.33</v>
      </c>
      <c r="G97" s="6">
        <v>0</v>
      </c>
      <c r="H97" s="5">
        <v>22642.2</v>
      </c>
      <c r="I97" s="16">
        <v>0</v>
      </c>
    </row>
    <row r="98" spans="1:9" x14ac:dyDescent="0.35">
      <c r="A98" s="13"/>
      <c r="B98" s="8" t="s">
        <v>109</v>
      </c>
      <c r="C98" s="5">
        <v>8323.2800000000007</v>
      </c>
      <c r="D98" s="6">
        <v>0</v>
      </c>
      <c r="E98" s="5">
        <v>9107.69</v>
      </c>
      <c r="F98" s="5">
        <v>4671.9800000000005</v>
      </c>
      <c r="G98" s="6">
        <v>0</v>
      </c>
      <c r="H98" s="5">
        <v>22102.95</v>
      </c>
      <c r="I98" s="16">
        <v>0</v>
      </c>
    </row>
    <row r="99" spans="1:9" x14ac:dyDescent="0.35">
      <c r="A99" s="13"/>
      <c r="B99" s="8" t="s">
        <v>110</v>
      </c>
      <c r="C99" s="5">
        <v>8323.2800000000007</v>
      </c>
      <c r="D99" s="5">
        <v>400.65</v>
      </c>
      <c r="E99" s="5">
        <v>10199.61</v>
      </c>
      <c r="F99" s="5">
        <v>4312.29</v>
      </c>
      <c r="G99" s="6">
        <v>0</v>
      </c>
      <c r="H99" s="5">
        <v>23235.83</v>
      </c>
      <c r="I99" s="16">
        <v>0</v>
      </c>
    </row>
    <row r="100" spans="1:9" x14ac:dyDescent="0.35">
      <c r="A100" s="13"/>
      <c r="B100" s="8" t="s">
        <v>111</v>
      </c>
      <c r="C100" s="5">
        <v>8323.2800000000007</v>
      </c>
      <c r="D100" s="5">
        <v>226.09</v>
      </c>
      <c r="E100" s="5">
        <v>5510.57</v>
      </c>
      <c r="F100" s="5">
        <v>25387.97</v>
      </c>
      <c r="G100" s="6">
        <v>0</v>
      </c>
      <c r="H100" s="5">
        <v>39447.910000000003</v>
      </c>
      <c r="I100" s="16">
        <v>0</v>
      </c>
    </row>
    <row r="101" spans="1:9" x14ac:dyDescent="0.35">
      <c r="A101" s="13"/>
      <c r="B101" s="8" t="s">
        <v>112</v>
      </c>
      <c r="C101" s="5">
        <v>8323.2800000000007</v>
      </c>
      <c r="D101" s="5">
        <v>4675.78</v>
      </c>
      <c r="E101" s="5">
        <v>7477.88</v>
      </c>
      <c r="F101" s="5">
        <v>11844.58</v>
      </c>
      <c r="G101" s="6">
        <v>0</v>
      </c>
      <c r="H101" s="5">
        <v>32321.520000000004</v>
      </c>
      <c r="I101" s="16">
        <v>0</v>
      </c>
    </row>
    <row r="102" spans="1:9" x14ac:dyDescent="0.35">
      <c r="A102" s="13"/>
      <c r="B102" s="8" t="s">
        <v>113</v>
      </c>
      <c r="C102" s="5">
        <v>8323.2800000000007</v>
      </c>
      <c r="D102" s="6">
        <v>0</v>
      </c>
      <c r="E102" s="5">
        <v>10521.98</v>
      </c>
      <c r="F102" s="5">
        <v>5520.56</v>
      </c>
      <c r="G102" s="6">
        <v>0</v>
      </c>
      <c r="H102" s="5">
        <v>24365.820000000003</v>
      </c>
      <c r="I102" s="16">
        <v>0</v>
      </c>
    </row>
    <row r="103" spans="1:9" x14ac:dyDescent="0.35">
      <c r="A103" s="13"/>
      <c r="B103" s="8" t="s">
        <v>114</v>
      </c>
      <c r="C103" s="5">
        <v>8323.2800000000007</v>
      </c>
      <c r="D103" s="6">
        <v>0</v>
      </c>
      <c r="E103" s="5">
        <v>4918.49</v>
      </c>
      <c r="F103" s="5">
        <v>2349.37</v>
      </c>
      <c r="G103" s="6">
        <v>0</v>
      </c>
      <c r="H103" s="5">
        <v>15591.14</v>
      </c>
      <c r="I103" s="16">
        <v>0</v>
      </c>
    </row>
    <row r="104" spans="1:9" x14ac:dyDescent="0.35">
      <c r="A104" s="13"/>
      <c r="B104" s="8" t="s">
        <v>115</v>
      </c>
      <c r="C104" s="5">
        <v>2747.17</v>
      </c>
      <c r="D104" s="6">
        <v>0</v>
      </c>
      <c r="E104" s="5">
        <v>4088.23</v>
      </c>
      <c r="F104" s="5">
        <v>9323.7999999999993</v>
      </c>
      <c r="G104" s="6">
        <v>0</v>
      </c>
      <c r="H104" s="5">
        <v>16159.199999999999</v>
      </c>
      <c r="I104" s="16">
        <v>0</v>
      </c>
    </row>
    <row r="105" spans="1:9" x14ac:dyDescent="0.35">
      <c r="A105" s="13"/>
      <c r="B105" s="8" t="s">
        <v>116</v>
      </c>
      <c r="C105" s="5">
        <v>8323.2800000000007</v>
      </c>
      <c r="D105" s="5">
        <v>165.6</v>
      </c>
      <c r="E105" s="5">
        <v>4624.68</v>
      </c>
      <c r="F105" s="6">
        <v>0</v>
      </c>
      <c r="G105" s="6">
        <v>0</v>
      </c>
      <c r="H105" s="5">
        <v>13113.560000000001</v>
      </c>
      <c r="I105" s="16">
        <v>0</v>
      </c>
    </row>
    <row r="106" spans="1:9" x14ac:dyDescent="0.35">
      <c r="A106" s="13"/>
      <c r="B106" s="8" t="s">
        <v>117</v>
      </c>
      <c r="C106" s="5">
        <v>8323.2800000000007</v>
      </c>
      <c r="D106" s="5">
        <v>1539.46</v>
      </c>
      <c r="E106" s="5">
        <v>5458.64</v>
      </c>
      <c r="F106" s="5">
        <v>10604.12</v>
      </c>
      <c r="G106" s="6">
        <v>0</v>
      </c>
      <c r="H106" s="5">
        <v>25925.5</v>
      </c>
      <c r="I106" s="16">
        <v>0</v>
      </c>
    </row>
    <row r="107" spans="1:9" x14ac:dyDescent="0.35">
      <c r="A107" s="13"/>
      <c r="B107" s="8" t="s">
        <v>118</v>
      </c>
      <c r="C107" s="5">
        <v>8323.2800000000007</v>
      </c>
      <c r="D107" s="5">
        <v>201.52</v>
      </c>
      <c r="E107" s="5">
        <v>3140.42</v>
      </c>
      <c r="F107" s="5">
        <v>4689.07</v>
      </c>
      <c r="G107" s="6">
        <v>0</v>
      </c>
      <c r="H107" s="5">
        <v>16354.29</v>
      </c>
      <c r="I107" s="16">
        <v>0</v>
      </c>
    </row>
    <row r="108" spans="1:9" x14ac:dyDescent="0.35">
      <c r="A108" s="13"/>
      <c r="B108" s="8" t="s">
        <v>119</v>
      </c>
      <c r="C108" s="5">
        <v>8323.2800000000007</v>
      </c>
      <c r="D108" s="5">
        <v>2921.51</v>
      </c>
      <c r="E108" s="5">
        <v>15169.31</v>
      </c>
      <c r="F108" s="5">
        <v>619.01</v>
      </c>
      <c r="G108" s="5">
        <v>32766</v>
      </c>
      <c r="H108" s="5">
        <v>59799.11</v>
      </c>
      <c r="I108" s="16">
        <v>0</v>
      </c>
    </row>
    <row r="109" spans="1:9" x14ac:dyDescent="0.35">
      <c r="A109" s="13"/>
      <c r="B109" s="8" t="s">
        <v>120</v>
      </c>
      <c r="C109" s="5">
        <v>8323.2800000000007</v>
      </c>
      <c r="D109" s="5">
        <v>1911.01</v>
      </c>
      <c r="E109" s="5">
        <v>11853.97</v>
      </c>
      <c r="F109" s="5">
        <v>8203.2199999999993</v>
      </c>
      <c r="G109" s="6">
        <v>0</v>
      </c>
      <c r="H109" s="5">
        <v>30291.480000000003</v>
      </c>
      <c r="I109" s="16">
        <v>0</v>
      </c>
    </row>
    <row r="110" spans="1:9" x14ac:dyDescent="0.35">
      <c r="A110" s="13"/>
      <c r="B110" s="8" t="s">
        <v>121</v>
      </c>
      <c r="C110" s="5">
        <v>8323.2800000000007</v>
      </c>
      <c r="D110" s="5">
        <v>3976.19</v>
      </c>
      <c r="E110" s="5">
        <v>7423.34</v>
      </c>
      <c r="F110" s="5">
        <v>11589.8</v>
      </c>
      <c r="G110" s="6">
        <v>0</v>
      </c>
      <c r="H110" s="5">
        <v>31312.61</v>
      </c>
      <c r="I110" s="16">
        <v>0</v>
      </c>
    </row>
    <row r="111" spans="1:9" x14ac:dyDescent="0.35">
      <c r="A111" s="13"/>
      <c r="B111" s="8" t="s">
        <v>122</v>
      </c>
      <c r="C111" s="5">
        <v>8323.2800000000007</v>
      </c>
      <c r="D111" s="5">
        <v>1850.97</v>
      </c>
      <c r="E111" s="5">
        <v>8068.78</v>
      </c>
      <c r="F111" s="5">
        <v>16350.6</v>
      </c>
      <c r="G111" s="6">
        <v>0</v>
      </c>
      <c r="H111" s="5">
        <v>34593.629999999997</v>
      </c>
      <c r="I111" s="16">
        <v>0</v>
      </c>
    </row>
    <row r="112" spans="1:9" x14ac:dyDescent="0.35">
      <c r="A112" s="13"/>
      <c r="B112" s="8" t="s">
        <v>123</v>
      </c>
      <c r="C112" s="5">
        <v>8323.2800000000007</v>
      </c>
      <c r="D112" s="5">
        <v>1116.7</v>
      </c>
      <c r="E112" s="5">
        <v>13399.03</v>
      </c>
      <c r="F112" s="5">
        <v>10743.96</v>
      </c>
      <c r="G112" s="6">
        <v>0</v>
      </c>
      <c r="H112" s="5">
        <v>33582.97</v>
      </c>
      <c r="I112" s="16">
        <v>0</v>
      </c>
    </row>
    <row r="113" spans="1:9" x14ac:dyDescent="0.35">
      <c r="A113" s="13"/>
      <c r="B113" s="8" t="s">
        <v>124</v>
      </c>
      <c r="C113" s="5">
        <v>4429.75</v>
      </c>
      <c r="D113" s="5">
        <v>548.03</v>
      </c>
      <c r="E113" s="5">
        <v>10000.61</v>
      </c>
      <c r="F113" s="5">
        <v>7392.54</v>
      </c>
      <c r="G113" s="6">
        <v>0</v>
      </c>
      <c r="H113" s="5">
        <v>22370.93</v>
      </c>
      <c r="I113" s="5">
        <f>3354.88</f>
        <v>3354.88</v>
      </c>
    </row>
    <row r="114" spans="1:9" x14ac:dyDescent="0.35">
      <c r="A114" s="13"/>
      <c r="B114" s="8" t="s">
        <v>125</v>
      </c>
      <c r="C114" s="5">
        <v>8323.2800000000007</v>
      </c>
      <c r="D114" s="5">
        <v>155.34</v>
      </c>
      <c r="E114" s="5">
        <v>8434.75</v>
      </c>
      <c r="F114" s="5">
        <v>4777.07</v>
      </c>
      <c r="G114" s="6">
        <v>0</v>
      </c>
      <c r="H114" s="5">
        <v>21690.440000000002</v>
      </c>
      <c r="I114" s="16">
        <v>0</v>
      </c>
    </row>
    <row r="115" spans="1:9" x14ac:dyDescent="0.35">
      <c r="A115" s="13"/>
      <c r="B115" s="8" t="s">
        <v>126</v>
      </c>
      <c r="C115" s="5">
        <v>8323.2800000000007</v>
      </c>
      <c r="D115" s="5">
        <v>549.12</v>
      </c>
      <c r="E115" s="5">
        <v>5875.95</v>
      </c>
      <c r="F115" s="5">
        <v>6416.48</v>
      </c>
      <c r="G115" s="6">
        <v>0</v>
      </c>
      <c r="H115" s="5">
        <v>21164.83</v>
      </c>
      <c r="I115" s="16">
        <v>0</v>
      </c>
    </row>
    <row r="116" spans="1:9" x14ac:dyDescent="0.35">
      <c r="A116" s="13"/>
      <c r="B116" s="8" t="s">
        <v>127</v>
      </c>
      <c r="C116" s="5">
        <v>3812.79</v>
      </c>
      <c r="D116" s="5">
        <v>529.38</v>
      </c>
      <c r="E116" s="5">
        <v>9556.5</v>
      </c>
      <c r="F116" s="5">
        <v>8961.52</v>
      </c>
      <c r="G116" s="6">
        <v>0</v>
      </c>
      <c r="H116" s="5">
        <v>22860.190000000002</v>
      </c>
      <c r="I116" s="16">
        <v>0</v>
      </c>
    </row>
    <row r="117" spans="1:9" x14ac:dyDescent="0.35">
      <c r="A117" s="13"/>
      <c r="B117" s="8" t="s">
        <v>128</v>
      </c>
      <c r="C117" s="5">
        <v>8323.2800000000007</v>
      </c>
      <c r="D117" s="5">
        <v>1050.29</v>
      </c>
      <c r="E117" s="5">
        <v>1528.3</v>
      </c>
      <c r="F117" s="5">
        <v>1843.04</v>
      </c>
      <c r="G117" s="6">
        <v>0</v>
      </c>
      <c r="H117" s="5">
        <v>12744.91</v>
      </c>
      <c r="I117" s="16">
        <v>0</v>
      </c>
    </row>
    <row r="118" spans="1:9" x14ac:dyDescent="0.35">
      <c r="A118" s="13"/>
      <c r="B118" s="8" t="s">
        <v>129</v>
      </c>
      <c r="C118" s="5">
        <v>8323.2800000000007</v>
      </c>
      <c r="D118" s="5">
        <v>1569.72</v>
      </c>
      <c r="E118" s="5">
        <v>9869.2100000000009</v>
      </c>
      <c r="F118" s="5">
        <v>8830.69</v>
      </c>
      <c r="G118" s="6">
        <v>0</v>
      </c>
      <c r="H118" s="5">
        <v>28592.9</v>
      </c>
      <c r="I118" s="16">
        <v>0</v>
      </c>
    </row>
    <row r="119" spans="1:9" x14ac:dyDescent="0.35">
      <c r="A119" s="13"/>
      <c r="B119" s="8" t="s">
        <v>130</v>
      </c>
      <c r="C119" s="5">
        <v>4641.3999999999996</v>
      </c>
      <c r="D119" s="5">
        <v>339.24</v>
      </c>
      <c r="E119" s="5">
        <v>8290.65</v>
      </c>
      <c r="F119" s="5">
        <v>6941.73</v>
      </c>
      <c r="G119" s="6">
        <v>0</v>
      </c>
      <c r="H119" s="5">
        <v>20213.019999999997</v>
      </c>
      <c r="I119" s="16">
        <v>0</v>
      </c>
    </row>
    <row r="120" spans="1:9" x14ac:dyDescent="0.35">
      <c r="A120" s="13"/>
      <c r="B120" s="8" t="s">
        <v>131</v>
      </c>
      <c r="C120" s="5">
        <v>8423.14</v>
      </c>
      <c r="D120" s="5">
        <v>1672.0200000000004</v>
      </c>
      <c r="E120" s="5">
        <v>3546.03</v>
      </c>
      <c r="F120" s="5">
        <v>7540.53</v>
      </c>
      <c r="G120" s="6">
        <v>0</v>
      </c>
      <c r="H120" s="5">
        <v>21181.72</v>
      </c>
      <c r="I120" s="16">
        <v>0</v>
      </c>
    </row>
    <row r="121" spans="1:9" x14ac:dyDescent="0.35">
      <c r="A121" s="13"/>
      <c r="B121" s="8" t="s">
        <v>132</v>
      </c>
      <c r="C121" s="5">
        <v>8323.2800000000007</v>
      </c>
      <c r="D121" s="5">
        <v>2672.22</v>
      </c>
      <c r="E121" s="5">
        <v>13665.09</v>
      </c>
      <c r="F121" s="5">
        <v>6870.6</v>
      </c>
      <c r="G121" s="6">
        <v>0</v>
      </c>
      <c r="H121" s="5">
        <v>31531.190000000002</v>
      </c>
      <c r="I121" s="16">
        <v>0</v>
      </c>
    </row>
    <row r="122" spans="1:9" x14ac:dyDescent="0.35">
      <c r="A122" s="13"/>
      <c r="B122" s="8" t="s">
        <v>133</v>
      </c>
      <c r="C122" s="5">
        <v>8323.2800000000007</v>
      </c>
      <c r="D122" s="5">
        <v>1077.5899999999999</v>
      </c>
      <c r="E122" s="5">
        <v>7426.54</v>
      </c>
      <c r="F122" s="5">
        <v>2730.44</v>
      </c>
      <c r="G122" s="6">
        <v>0</v>
      </c>
      <c r="H122" s="5">
        <v>19557.849999999999</v>
      </c>
      <c r="I122" s="16">
        <v>0</v>
      </c>
    </row>
    <row r="123" spans="1:9" x14ac:dyDescent="0.35">
      <c r="A123" s="13"/>
      <c r="B123" s="8" t="s">
        <v>134</v>
      </c>
      <c r="C123" s="5">
        <v>2789.88</v>
      </c>
      <c r="D123" s="5">
        <v>745.06</v>
      </c>
      <c r="E123" s="5">
        <v>4238.1400000000003</v>
      </c>
      <c r="F123" s="5">
        <v>4545.7</v>
      </c>
      <c r="G123" s="6">
        <v>0</v>
      </c>
      <c r="H123" s="5">
        <v>12318.779999999999</v>
      </c>
      <c r="I123" s="16">
        <v>0</v>
      </c>
    </row>
    <row r="124" spans="1:9" x14ac:dyDescent="0.35">
      <c r="A124" s="13"/>
      <c r="B124" s="8" t="s">
        <v>135</v>
      </c>
      <c r="C124" s="5">
        <v>8323.2800000000007</v>
      </c>
      <c r="D124" s="5">
        <v>4222.6000000000004</v>
      </c>
      <c r="E124" s="5">
        <v>10029.51</v>
      </c>
      <c r="F124" s="5">
        <v>13490.93</v>
      </c>
      <c r="G124" s="6">
        <v>0</v>
      </c>
      <c r="H124" s="5">
        <v>36066.32</v>
      </c>
      <c r="I124" s="16">
        <v>0</v>
      </c>
    </row>
    <row r="125" spans="1:9" x14ac:dyDescent="0.35">
      <c r="A125" s="13"/>
      <c r="B125" s="8" t="s">
        <v>136</v>
      </c>
      <c r="C125" s="5">
        <v>8323.2800000000007</v>
      </c>
      <c r="D125" s="5">
        <v>420</v>
      </c>
      <c r="E125" s="5">
        <v>4879.3900000000003</v>
      </c>
      <c r="F125" s="5">
        <v>4891.1499999999996</v>
      </c>
      <c r="G125" s="6">
        <v>0</v>
      </c>
      <c r="H125" s="5">
        <v>18513.82</v>
      </c>
      <c r="I125" s="5">
        <f>260.92</f>
        <v>260.92</v>
      </c>
    </row>
    <row r="126" spans="1:9" x14ac:dyDescent="0.35">
      <c r="A126" s="13"/>
      <c r="B126" s="8" t="s">
        <v>137</v>
      </c>
      <c r="C126" s="5">
        <v>3589.57</v>
      </c>
      <c r="D126" s="5">
        <v>376.74</v>
      </c>
      <c r="E126" s="5">
        <v>7948.36</v>
      </c>
      <c r="F126" s="5">
        <v>12439.59</v>
      </c>
      <c r="G126" s="6">
        <v>0</v>
      </c>
      <c r="H126" s="5">
        <v>24354.260000000002</v>
      </c>
      <c r="I126" s="16">
        <v>0</v>
      </c>
    </row>
    <row r="127" spans="1:9" x14ac:dyDescent="0.35">
      <c r="A127" s="13"/>
      <c r="B127" s="8" t="s">
        <v>138</v>
      </c>
      <c r="C127" s="6">
        <v>0</v>
      </c>
      <c r="D127" s="5">
        <v>2325.9299999999998</v>
      </c>
      <c r="E127" s="5">
        <v>12568.470000000001</v>
      </c>
      <c r="F127" s="5">
        <v>2502.11</v>
      </c>
      <c r="G127" s="6">
        <v>0</v>
      </c>
      <c r="H127" s="5">
        <v>17396.510000000002</v>
      </c>
      <c r="I127" s="16">
        <v>0</v>
      </c>
    </row>
    <row r="128" spans="1:9" ht="15" thickBot="1" x14ac:dyDescent="0.4">
      <c r="A128" s="13"/>
      <c r="B128" s="8" t="s">
        <v>139</v>
      </c>
      <c r="C128" s="5">
        <v>8323.2800000000007</v>
      </c>
      <c r="D128" s="5">
        <v>1830.76</v>
      </c>
      <c r="E128" s="5">
        <v>15966.45</v>
      </c>
      <c r="F128" s="5">
        <v>5575.87</v>
      </c>
      <c r="G128" s="6">
        <v>0</v>
      </c>
      <c r="H128" s="5">
        <v>31696.36</v>
      </c>
      <c r="I128" s="16">
        <v>0</v>
      </c>
    </row>
    <row r="129" spans="1:9" ht="15" thickBot="1" x14ac:dyDescent="0.4">
      <c r="A129" s="15" t="s">
        <v>140</v>
      </c>
      <c r="B129" s="18"/>
      <c r="C129" s="11">
        <v>233792.24999999997</v>
      </c>
      <c r="D129" s="11">
        <v>41651.020000000011</v>
      </c>
      <c r="E129" s="11">
        <v>284133.69</v>
      </c>
      <c r="F129" s="11">
        <v>260479.75</v>
      </c>
      <c r="G129" s="11">
        <v>32766</v>
      </c>
      <c r="H129" s="11">
        <v>852822.71</v>
      </c>
      <c r="I129" s="11">
        <f>SUM(I95:I128)</f>
        <v>3615.8</v>
      </c>
    </row>
    <row r="130" spans="1:9" ht="15" thickBot="1" x14ac:dyDescent="0.4">
      <c r="A130" s="19"/>
      <c r="B130" s="19"/>
      <c r="C130" s="19"/>
      <c r="D130" s="19"/>
      <c r="E130" s="19"/>
      <c r="F130" s="19"/>
      <c r="G130" s="19"/>
      <c r="H130" s="20"/>
      <c r="I130" s="20"/>
    </row>
    <row r="131" spans="1:9" ht="15" thickBot="1" x14ac:dyDescent="0.4">
      <c r="A131" s="15" t="s">
        <v>5</v>
      </c>
      <c r="B131" s="18"/>
      <c r="C131" s="11">
        <v>637289.4</v>
      </c>
      <c r="D131" s="11">
        <v>107124.64000000001</v>
      </c>
      <c r="E131" s="11">
        <v>663532.75</v>
      </c>
      <c r="F131" s="11">
        <v>493927.61</v>
      </c>
      <c r="G131" s="11">
        <v>37205.99</v>
      </c>
      <c r="H131" s="11">
        <v>1939080.39</v>
      </c>
      <c r="I131" s="11">
        <f>I15+I25+I28+I91+I94+I129</f>
        <v>24091.35</v>
      </c>
    </row>
    <row r="132" spans="1:9" x14ac:dyDescent="0.35">
      <c r="A132" s="21"/>
      <c r="B132" s="21"/>
      <c r="C132" s="22"/>
      <c r="D132" s="22"/>
      <c r="E132" s="22"/>
      <c r="F132" s="22"/>
      <c r="G132" s="22"/>
      <c r="H132" s="22"/>
      <c r="I132" s="22"/>
    </row>
    <row r="133" spans="1:9" x14ac:dyDescent="0.35">
      <c r="A133" s="33" t="s">
        <v>141</v>
      </c>
      <c r="B133" s="33"/>
      <c r="C133" s="33"/>
      <c r="D133" s="33"/>
      <c r="E133" s="33"/>
      <c r="F133" s="33"/>
      <c r="G133" s="33"/>
      <c r="H133" s="33"/>
      <c r="I133" s="23"/>
    </row>
    <row r="134" spans="1:9" x14ac:dyDescent="0.35">
      <c r="A134" s="33" t="s">
        <v>142</v>
      </c>
      <c r="B134" s="33"/>
      <c r="C134" s="33"/>
      <c r="D134" s="33"/>
      <c r="E134" s="33"/>
      <c r="F134" s="33"/>
      <c r="G134" s="33"/>
      <c r="H134" s="33"/>
      <c r="I134" s="23"/>
    </row>
    <row r="135" spans="1:9" x14ac:dyDescent="0.35">
      <c r="A135" s="33" t="s">
        <v>143</v>
      </c>
      <c r="B135" s="33"/>
      <c r="C135" s="33"/>
      <c r="D135" s="33"/>
      <c r="E135" s="33"/>
      <c r="F135" s="33"/>
      <c r="G135" s="33"/>
      <c r="H135" s="33"/>
      <c r="I135" s="23"/>
    </row>
    <row r="136" spans="1:9" x14ac:dyDescent="0.35">
      <c r="A136" s="33" t="s">
        <v>144</v>
      </c>
      <c r="B136" s="33"/>
      <c r="C136" s="33"/>
      <c r="D136" s="33"/>
      <c r="E136" s="33"/>
      <c r="F136" s="33"/>
      <c r="G136" s="33"/>
      <c r="H136" s="33"/>
      <c r="I136" s="23"/>
    </row>
    <row r="137" spans="1:9" x14ac:dyDescent="0.35">
      <c r="A137" s="33" t="s">
        <v>145</v>
      </c>
      <c r="B137" s="33"/>
      <c r="C137" s="33"/>
      <c r="D137" s="33"/>
      <c r="E137" s="33"/>
      <c r="F137" s="33"/>
      <c r="G137" s="33"/>
      <c r="H137" s="33"/>
      <c r="I137" s="23"/>
    </row>
  </sheetData>
  <mergeCells count="12">
    <mergeCell ref="A133:H133"/>
    <mergeCell ref="A134:H134"/>
    <mergeCell ref="A135:H135"/>
    <mergeCell ref="A136:H136"/>
    <mergeCell ref="A137:H137"/>
    <mergeCell ref="A1:I2"/>
    <mergeCell ref="A3:A4"/>
    <mergeCell ref="B3:B4"/>
    <mergeCell ref="C3:D3"/>
    <mergeCell ref="E3:G3"/>
    <mergeCell ref="H3:H4"/>
    <mergeCell ref="I3:I4"/>
  </mergeCells>
  <pageMargins left="0.70866141732283472" right="0.70866141732283472" top="0.74803149606299213" bottom="0.74803149606299213" header="0.31496062992125984" footer="0.31496062992125984"/>
  <pageSetup paperSize="9" scale="5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Parties</vt:lpstr>
      <vt:lpstr>'All Parties'!Print_Titles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Yang</dc:creator>
  <cp:lastModifiedBy>Jade Yang</cp:lastModifiedBy>
  <cp:lastPrinted>2023-12-05T19:37:42Z</cp:lastPrinted>
  <dcterms:created xsi:type="dcterms:W3CDTF">2023-12-05T19:27:03Z</dcterms:created>
  <dcterms:modified xsi:type="dcterms:W3CDTF">2023-12-06T02:40:50Z</dcterms:modified>
</cp:coreProperties>
</file>