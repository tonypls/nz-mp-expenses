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liamentaryservice-my.sharepoint.com/personal/jade_yang_parliament_govt_nz/Documents/Downloads/"/>
    </mc:Choice>
  </mc:AlternateContent>
  <xr:revisionPtr revIDLastSave="17" documentId="8_{BBAF6E7F-A0A3-49A7-8634-5F8D7D21E2CB}" xr6:coauthVersionLast="47" xr6:coauthVersionMax="47" xr10:uidLastSave="{8AC421F8-A95C-4821-B2D8-CA6F718775C6}"/>
  <bookViews>
    <workbookView xWindow="-28920" yWindow="0" windowWidth="29040" windowHeight="15840" xr2:uid="{B8BC075B-9D8D-4F67-AA83-1B51AE5521BB}"/>
  </bookViews>
  <sheets>
    <sheet name="Sheet1" sheetId="1" r:id="rId1"/>
  </sheets>
  <externalReferences>
    <externalReference r:id="rId2"/>
    <externalReference r:id="rId3"/>
  </externalReferences>
  <definedNames>
    <definedName name="Crown_Act">#REF!</definedName>
    <definedName name="Crown_CC">'[1]Cost Centres ALL'!#REF!</definedName>
    <definedName name="FINANCIALS_PC_53RDPowerExlRange01">[2]Sheet1!$A$4,[2]Sheet1!$B$4</definedName>
    <definedName name="FINANCIALS_PC_53RDPowerExlRange02">[2]Sheet1!$C$4,[2]Sheet1!$D$4</definedName>
    <definedName name="FINANCIALS_PC_53RDPowerExlRange03">[2]Sheet1!$E$4,[2]Sheet1!$F$4</definedName>
    <definedName name="FINANCIALS_PC_53RDPowerExlRange04">[2]Sheet1!$G$4,[2]Sheet1!$H$4</definedName>
    <definedName name="Natural">#REF!</definedName>
    <definedName name="OOC_Act">#REF!</definedName>
    <definedName name="OOC_CC">'[1]Cost Centres ALL'!#REF!</definedName>
    <definedName name="PCO_Act">#REF!</definedName>
    <definedName name="PCO_CC">'[1]Cost Centres ALL'!#REF!</definedName>
    <definedName name="_xlnm.Print_Titles" localSheetId="0">Sheet1!$1:$4</definedName>
    <definedName name="PS_Act">#REF!</definedName>
    <definedName name="PS_CC">'[1]Cost Centres ALL'!#REF!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  <c r="I25" i="1"/>
  <c r="I36" i="1"/>
  <c r="I92" i="1" s="1"/>
  <c r="I43" i="1"/>
  <c r="I45" i="1"/>
  <c r="I49" i="1"/>
  <c r="I50" i="1"/>
  <c r="I64" i="1"/>
  <c r="I70" i="1"/>
  <c r="I72" i="1"/>
  <c r="I74" i="1"/>
  <c r="I84" i="1"/>
  <c r="I100" i="1"/>
  <c r="I130" i="1" s="1"/>
  <c r="I132" i="1" s="1"/>
  <c r="I105" i="1"/>
  <c r="I111" i="1"/>
  <c r="I115" i="1"/>
  <c r="I120" i="1"/>
  <c r="I121" i="1"/>
</calcChain>
</file>

<file path=xl/sharedStrings.xml><?xml version="1.0" encoding="utf-8"?>
<sst xmlns="http://schemas.openxmlformats.org/spreadsheetml/2006/main" count="150" uniqueCount="147">
  <si>
    <t>2) The Speaker and Deputy Speaker are entitled to a higher Wellington accommodation allowance.</t>
  </si>
  <si>
    <t xml:space="preserve">1) The Speaker, Deputy Speaker, and Leader of the Opposition are eligible for VIP Transport services. </t>
  </si>
  <si>
    <t>Grand Total</t>
  </si>
  <si>
    <t>National Total</t>
  </si>
  <si>
    <t>Woodhouse, Michael</t>
  </si>
  <si>
    <t xml:space="preserve">Willis, Nicola </t>
  </si>
  <si>
    <t xml:space="preserve">Watts, Simon </t>
  </si>
  <si>
    <t>van de Molen, Tim</t>
  </si>
  <si>
    <t>Upston, Louise</t>
  </si>
  <si>
    <t>Uffindell, Sam</t>
  </si>
  <si>
    <t>Stanford, Erica</t>
  </si>
  <si>
    <t xml:space="preserve">Smith, Stuart </t>
  </si>
  <si>
    <t xml:space="preserve">Simpson, Scott </t>
  </si>
  <si>
    <t>Simmonds, Penny</t>
  </si>
  <si>
    <t>Reti, Shane</t>
  </si>
  <si>
    <t>Pugh, Maureen</t>
  </si>
  <si>
    <t>Potaka, Tama</t>
  </si>
  <si>
    <t>Penk, Chris</t>
  </si>
  <si>
    <t>O'Connor, Simon</t>
  </si>
  <si>
    <t>Muller, Todd</t>
  </si>
  <si>
    <t xml:space="preserve">Mooney, Joseph </t>
  </si>
  <si>
    <t xml:space="preserve">Mitchell, Mark </t>
  </si>
  <si>
    <t xml:space="preserve">McKelvie, Ian </t>
  </si>
  <si>
    <t xml:space="preserve">McClay, Todd </t>
  </si>
  <si>
    <t>Luxon, Christopher (1)</t>
  </si>
  <si>
    <t xml:space="preserve">Lee, Melissa </t>
  </si>
  <si>
    <t xml:space="preserve">Kuriger, Barbara </t>
  </si>
  <si>
    <t xml:space="preserve">Hipango, Harete </t>
  </si>
  <si>
    <t xml:space="preserve">Grigg, Nicola </t>
  </si>
  <si>
    <t>Goldsmith, Paul</t>
  </si>
  <si>
    <t>Doocey, Matt</t>
  </si>
  <si>
    <t xml:space="preserve">Dean, Jacqui </t>
  </si>
  <si>
    <t xml:space="preserve">Collins, Judith </t>
  </si>
  <si>
    <t xml:space="preserve">Brownlee, Gerry </t>
  </si>
  <si>
    <t>Brown, Simeon</t>
  </si>
  <si>
    <t>Bishop, Chris</t>
  </si>
  <si>
    <t xml:space="preserve">Bennett, David </t>
  </si>
  <si>
    <t>Bayly, Andrew</t>
  </si>
  <si>
    <t>National</t>
  </si>
  <si>
    <t xml:space="preserve">Ngarewa-Packer, Debbie </t>
  </si>
  <si>
    <t xml:space="preserve">Waititi, Rawiri </t>
  </si>
  <si>
    <t>Labour Total</t>
  </si>
  <si>
    <t>Woods, Megan</t>
  </si>
  <si>
    <t>Wood, Michael</t>
  </si>
  <si>
    <t>Williams, Poto</t>
  </si>
  <si>
    <t>Williams, Arena</t>
  </si>
  <si>
    <t>White, Helen</t>
  </si>
  <si>
    <t>Webb, Duncan</t>
  </si>
  <si>
    <t>Warren-Clark, Angie</t>
  </si>
  <si>
    <t>Walters, Vanushi</t>
  </si>
  <si>
    <t>Verrall, Ayesha</t>
  </si>
  <si>
    <t>Utikere, Tangi</t>
  </si>
  <si>
    <t>Twyford, Phil</t>
  </si>
  <si>
    <t xml:space="preserve">Tirikatene, Rino </t>
  </si>
  <si>
    <t>Tinetti, Jan</t>
  </si>
  <si>
    <t>Strange, Jamie</t>
  </si>
  <si>
    <t xml:space="preserve">Sosene, Lemauga Lydia </t>
  </si>
  <si>
    <t>Sio, Aupito William</t>
  </si>
  <si>
    <t>Sepuloni, Carmel</t>
  </si>
  <si>
    <t>Salesa, Jenny</t>
  </si>
  <si>
    <t xml:space="preserve">Russell, Deborah </t>
  </si>
  <si>
    <t>Rurawhe, Adrian (1) (2)</t>
  </si>
  <si>
    <t>Robertson, Grant</t>
  </si>
  <si>
    <t>Rosewarne, Dan</t>
  </si>
  <si>
    <t xml:space="preserve">Roberts, Angela </t>
  </si>
  <si>
    <t xml:space="preserve">Radhakrishnan, Priyanca </t>
  </si>
  <si>
    <t>Prime, Willow-Jean</t>
  </si>
  <si>
    <t>Peke-Mason, Soraya</t>
  </si>
  <si>
    <t>Parker, David</t>
  </si>
  <si>
    <t>Pallett, Sarah</t>
  </si>
  <si>
    <t>Omer, Ibrahim</t>
  </si>
  <si>
    <t xml:space="preserve">O'Connor, Greg </t>
  </si>
  <si>
    <t>O'Connor, Damien</t>
  </si>
  <si>
    <t>Ngobi, Terisa</t>
  </si>
  <si>
    <t>Nash, Stuart</t>
  </si>
  <si>
    <t>McLellan, Tracey</t>
  </si>
  <si>
    <t>McAnulty, Kieran</t>
  </si>
  <si>
    <t>Mahuta, Nanaia</t>
  </si>
  <si>
    <t>Luxton, Jo</t>
  </si>
  <si>
    <t xml:space="preserve">Lubeck, Marja </t>
  </si>
  <si>
    <t>Lorck, Anna</t>
  </si>
  <si>
    <t>Little, Andrew</t>
  </si>
  <si>
    <t>Lewis, Steph</t>
  </si>
  <si>
    <t>Leavasa, Anae Neru</t>
  </si>
  <si>
    <t>Leary, Ingrid</t>
  </si>
  <si>
    <t>Kanongata'A, Anahila</t>
  </si>
  <si>
    <t>Jackson, Willie</t>
  </si>
  <si>
    <t>Hipkins, Chris</t>
  </si>
  <si>
    <t>Henderson, Emily</t>
  </si>
  <si>
    <t>Henare, Peeni</t>
  </si>
  <si>
    <t>Halbert, Shanan</t>
  </si>
  <si>
    <t xml:space="preserve">Edmonds, Barbara </t>
  </si>
  <si>
    <t xml:space="preserve">Eagle, Paul </t>
  </si>
  <si>
    <t>Davis, Kelvin</t>
  </si>
  <si>
    <t>Craig, Liz</t>
  </si>
  <si>
    <t>Coffey, Tamati</t>
  </si>
  <si>
    <t>Clark, David</t>
  </si>
  <si>
    <t xml:space="preserve">Chen, Naisi </t>
  </si>
  <si>
    <t>Brooking, Rachel</t>
  </si>
  <si>
    <t>Boyack, Rachel</t>
  </si>
  <si>
    <t xml:space="preserve">Bennett, Glen </t>
  </si>
  <si>
    <t>Belich, Camilla</t>
  </si>
  <si>
    <t>Ardern, Jacinda</t>
  </si>
  <si>
    <t xml:space="preserve">Andersen, Ginny </t>
  </si>
  <si>
    <t>Allan, Kiri</t>
  </si>
  <si>
    <t>Labour</t>
  </si>
  <si>
    <t>Independent Total</t>
  </si>
  <si>
    <t xml:space="preserve">Whaitiri, Meka </t>
  </si>
  <si>
    <t xml:space="preserve">Kerekere, Elizabeth </t>
  </si>
  <si>
    <t>Independent</t>
  </si>
  <si>
    <t>Green Total</t>
  </si>
  <si>
    <t xml:space="preserve">Tuiono, Teanau </t>
  </si>
  <si>
    <t>Swarbrick, Chloe</t>
  </si>
  <si>
    <t>Shaw, James</t>
  </si>
  <si>
    <t>Sage, Eugenie</t>
  </si>
  <si>
    <t xml:space="preserve">Menéndez March, Ricardo </t>
  </si>
  <si>
    <t>Logie, Jan</t>
  </si>
  <si>
    <t xml:space="preserve">Ghahraman, Golriz </t>
  </si>
  <si>
    <t>Genter, Julie Anne</t>
  </si>
  <si>
    <t>Davidson, Marama</t>
  </si>
  <si>
    <t>Green</t>
  </si>
  <si>
    <t>Act Total</t>
  </si>
  <si>
    <t>van Velden, Brooke</t>
  </si>
  <si>
    <t xml:space="preserve">Smith, Damien </t>
  </si>
  <si>
    <t>Seymour, David</t>
  </si>
  <si>
    <t xml:space="preserve">Severin, Toni </t>
  </si>
  <si>
    <t>McKee, Nicole</t>
  </si>
  <si>
    <t>-</t>
  </si>
  <si>
    <t xml:space="preserve">McDowall, James </t>
  </si>
  <si>
    <t>Court, Simon</t>
  </si>
  <si>
    <t xml:space="preserve">Chhour, Karen </t>
  </si>
  <si>
    <t xml:space="preserve">Cameron, Mark </t>
  </si>
  <si>
    <t xml:space="preserve">Baillie, Chris </t>
  </si>
  <si>
    <t>Act</t>
  </si>
  <si>
    <t>VIP Transport</t>
  </si>
  <si>
    <t>Surface</t>
  </si>
  <si>
    <t>Air</t>
  </si>
  <si>
    <t>Non Wellington</t>
  </si>
  <si>
    <t>Wellington</t>
  </si>
  <si>
    <t>Inter-Parliamentary Office of the Clerk</t>
  </si>
  <si>
    <t>Travel</t>
  </si>
  <si>
    <t>Accommodation</t>
  </si>
  <si>
    <t>Member</t>
  </si>
  <si>
    <t>Party</t>
  </si>
  <si>
    <t>Members Expense Disclosure - January to March 2023</t>
  </si>
  <si>
    <t>Te Paati Māori</t>
  </si>
  <si>
    <t>Te Paati Māori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</si>
</sst>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-* #,##0_-;[Red]\(#,##0\)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</cellStyleXfs>
  <cellXfs count="46">
    <xf numFmtId="0" fontId="0" fillId="0" borderId="0" xfId="0"/>
    <xf numFmtId="3" fontId="0" fillId="0" borderId="0" xfId="0" applyNumberFormat="1" applyAlignment="1">
      <alignment horizontal="right"/>
    </xf>
    <xf numFmtId="3" fontId="0" fillId="0" borderId="0" xfId="0" applyNumberFormat="1"/>
    <xf numFmtId="0" fontId="0" fillId="2" borderId="0" xfId="0" applyFill="1"/>
    <xf numFmtId="164" fontId="2" fillId="2" borderId="0" xfId="1" applyNumberFormat="1" applyFont="1" applyFill="1" applyBorder="1" applyAlignment="1">
      <alignment horizontal="right"/>
    </xf>
    <xf numFmtId="3" fontId="2" fillId="2" borderId="0" xfId="1" applyNumberFormat="1" applyFont="1" applyFill="1" applyBorder="1" applyAlignment="1">
      <alignment horizontal="right"/>
    </xf>
    <xf numFmtId="164" fontId="2" fillId="2" borderId="0" xfId="1" applyNumberFormat="1" applyFont="1" applyFill="1" applyBorder="1"/>
    <xf numFmtId="3" fontId="2" fillId="2" borderId="1" xfId="1" applyNumberFormat="1" applyFont="1" applyFill="1" applyBorder="1" applyAlignment="1">
      <alignment horizontal="right"/>
    </xf>
    <xf numFmtId="3" fontId="2" fillId="2" borderId="2" xfId="1" applyNumberFormat="1" applyFont="1" applyFill="1" applyBorder="1" applyAlignment="1">
      <alignment horizontal="right"/>
    </xf>
    <xf numFmtId="3" fontId="2" fillId="2" borderId="3" xfId="1" applyNumberFormat="1" applyFont="1" applyFill="1" applyBorder="1" applyAlignment="1">
      <alignment horizontal="right"/>
    </xf>
    <xf numFmtId="164" fontId="2" fillId="2" borderId="3" xfId="1" applyNumberFormat="1" applyFont="1" applyFill="1" applyBorder="1"/>
    <xf numFmtId="0" fontId="2" fillId="2" borderId="3" xfId="1" applyNumberFormat="1" applyFont="1" applyFill="1" applyBorder="1" applyAlignment="1">
      <alignment horizontal="left" vertical="center"/>
    </xf>
    <xf numFmtId="0" fontId="0" fillId="2" borderId="4" xfId="0" applyFill="1" applyBorder="1"/>
    <xf numFmtId="3" fontId="0" fillId="2" borderId="3" xfId="0" applyNumberFormat="1" applyFill="1" applyBorder="1" applyAlignment="1">
      <alignment horizontal="right"/>
    </xf>
    <xf numFmtId="3" fontId="0" fillId="2" borderId="5" xfId="0" applyNumberFormat="1" applyFill="1" applyBorder="1"/>
    <xf numFmtId="3" fontId="0" fillId="2" borderId="5" xfId="0" applyNumberFormat="1" applyFill="1" applyBorder="1" applyAlignment="1">
      <alignment horizontal="right"/>
    </xf>
    <xf numFmtId="0" fontId="0" fillId="2" borderId="5" xfId="0" applyFill="1" applyBorder="1"/>
    <xf numFmtId="0" fontId="0" fillId="2" borderId="3" xfId="0" applyFill="1" applyBorder="1"/>
    <xf numFmtId="41" fontId="0" fillId="2" borderId="5" xfId="2" applyFont="1" applyFill="1" applyBorder="1" applyAlignment="1">
      <alignment horizontal="right"/>
    </xf>
    <xf numFmtId="3" fontId="3" fillId="2" borderId="4" xfId="3" applyNumberFormat="1" applyFill="1" applyBorder="1" applyAlignment="1">
      <alignment horizontal="right"/>
    </xf>
    <xf numFmtId="3" fontId="3" fillId="2" borderId="5" xfId="3" applyNumberFormat="1" applyFill="1" applyBorder="1" applyAlignment="1">
      <alignment horizontal="right"/>
    </xf>
    <xf numFmtId="0" fontId="3" fillId="2" borderId="5" xfId="1" applyNumberFormat="1" applyFont="1" applyFill="1" applyBorder="1" applyAlignment="1">
      <alignment horizontal="left"/>
    </xf>
    <xf numFmtId="164" fontId="3" fillId="2" borderId="5" xfId="1" applyNumberFormat="1" applyFont="1" applyFill="1" applyBorder="1"/>
    <xf numFmtId="165" fontId="3" fillId="2" borderId="4" xfId="3" applyNumberFormat="1" applyFill="1" applyBorder="1"/>
    <xf numFmtId="0" fontId="2" fillId="2" borderId="5" xfId="1" applyNumberFormat="1" applyFont="1" applyFill="1" applyBorder="1" applyAlignment="1">
      <alignment horizontal="left" vertical="center"/>
    </xf>
    <xf numFmtId="41" fontId="0" fillId="2" borderId="3" xfId="2" applyFont="1" applyFill="1" applyBorder="1" applyAlignment="1">
      <alignment horizontal="right"/>
    </xf>
    <xf numFmtId="0" fontId="2" fillId="2" borderId="3" xfId="1" applyNumberFormat="1" applyFont="1" applyFill="1" applyBorder="1" applyAlignment="1">
      <alignment horizontal="left"/>
    </xf>
    <xf numFmtId="164" fontId="3" fillId="2" borderId="6" xfId="1" applyNumberFormat="1" applyFont="1" applyFill="1" applyBorder="1"/>
    <xf numFmtId="0" fontId="2" fillId="2" borderId="7" xfId="1" applyNumberFormat="1" applyFont="1" applyFill="1" applyBorder="1" applyAlignment="1">
      <alignment horizontal="left" vertical="center"/>
    </xf>
    <xf numFmtId="3" fontId="2" fillId="2" borderId="3" xfId="3" applyNumberFormat="1" applyFont="1" applyFill="1" applyBorder="1" applyAlignment="1">
      <alignment horizontal="right"/>
    </xf>
    <xf numFmtId="164" fontId="2" fillId="2" borderId="5" xfId="1" applyNumberFormat="1" applyFont="1" applyFill="1" applyBorder="1" applyAlignment="1">
      <alignment vertical="center"/>
    </xf>
    <xf numFmtId="0" fontId="2" fillId="2" borderId="3" xfId="1" applyNumberFormat="1" applyFont="1" applyFill="1" applyBorder="1" applyAlignment="1">
      <alignment horizontal="center" vertical="center"/>
    </xf>
    <xf numFmtId="0" fontId="2" fillId="2" borderId="3" xfId="1" applyNumberFormat="1" applyFont="1" applyFill="1" applyBorder="1" applyAlignment="1">
      <alignment horizontal="center" vertical="center" wrapText="1"/>
    </xf>
    <xf numFmtId="0" fontId="2" fillId="2" borderId="10" xfId="1" applyNumberFormat="1" applyFont="1" applyFill="1" applyBorder="1" applyAlignment="1">
      <alignment horizontal="center" vertical="center" wrapText="1"/>
    </xf>
    <xf numFmtId="0" fontId="2" fillId="2" borderId="8" xfId="1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justify" vertical="top" wrapText="1"/>
    </xf>
    <xf numFmtId="0" fontId="2" fillId="2" borderId="0" xfId="3" applyFont="1" applyFill="1" applyAlignment="1">
      <alignment horizontal="center" vertical="center"/>
    </xf>
    <xf numFmtId="0" fontId="2" fillId="2" borderId="15" xfId="3" applyFont="1" applyFill="1" applyBorder="1" applyAlignment="1">
      <alignment horizontal="center" vertical="center"/>
    </xf>
    <xf numFmtId="0" fontId="2" fillId="2" borderId="7" xfId="1" applyNumberFormat="1" applyFont="1" applyFill="1" applyBorder="1" applyAlignment="1">
      <alignment horizontal="center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2" borderId="14" xfId="1" applyNumberFormat="1" applyFont="1" applyFill="1" applyBorder="1" applyAlignment="1">
      <alignment horizontal="center" vertical="center"/>
    </xf>
    <xf numFmtId="0" fontId="2" fillId="2" borderId="13" xfId="1" applyNumberFormat="1" applyFont="1" applyFill="1" applyBorder="1" applyAlignment="1">
      <alignment horizontal="center"/>
    </xf>
    <xf numFmtId="0" fontId="2" fillId="2" borderId="12" xfId="1" applyNumberFormat="1" applyFont="1" applyFill="1" applyBorder="1" applyAlignment="1">
      <alignment horizontal="center"/>
    </xf>
    <xf numFmtId="0" fontId="2" fillId="2" borderId="2" xfId="1" applyNumberFormat="1" applyFont="1" applyFill="1" applyBorder="1" applyAlignment="1">
      <alignment horizontal="center"/>
    </xf>
    <xf numFmtId="0" fontId="2" fillId="2" borderId="11" xfId="1" applyNumberFormat="1" applyFont="1" applyFill="1" applyBorder="1" applyAlignment="1">
      <alignment horizontal="center" vertical="center" wrapText="1"/>
    </xf>
    <xf numFmtId="0" fontId="2" fillId="2" borderId="9" xfId="1" applyNumberFormat="1" applyFont="1" applyFill="1" applyBorder="1" applyAlignment="1">
      <alignment horizontal="center" vertical="center" wrapText="1"/>
    </xf>
  </cellXfs>
  <cellStyles count="4">
    <cellStyle name="Comma" xfId="1" builtinId="3"/>
    <cellStyle name="Comma [0]" xfId="2" builtinId="6"/>
    <cellStyle name="Normal" xfId="0" builtinId="0"/>
    <cellStyle name="Normal 2" xfId="3" xr:uid="{F4A8B4F4-B779-41FD-B3FB-7DEDCCA926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nance\Finance\03%20Reporting\3.2%20Reporting%20-%20PC\Members'%20Expense%20Disclosure\FY%202022-23\3rd%20Quarter\Quarter%203%202023%20Members%20Expenditure%20Disclosure%20Review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nance\Finance\03%20Reporting\3.2%20Reporting%20-%20PC\Members'%20Expense%20Disclosure\FY%202020-21\3rd%20Quarter\Jan%2021%20Disclosur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Parties"/>
      <sheetName val="Tech1 Jan to Mar 23"/>
      <sheetName val="Adjustments"/>
      <sheetName val="Sheet1"/>
      <sheetName val="International Travel Q3"/>
      <sheetName val="Cost Centres ALL"/>
      <sheetName val="SPK CHM LOP Q2"/>
      <sheetName val="VIP Split"/>
      <sheetName val="Additional support Adj"/>
      <sheetName val="Domestic Accommodation checks"/>
      <sheetName val="SPK CHM LOP Q3"/>
      <sheetName val="Balance check"/>
      <sheetName val="Cost Centres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port"/>
    </sheetNames>
    <sheetDataSet>
      <sheetData sheetId="0">
        <row r="4">
          <cell r="A4" t="str">
            <v>075 - Andrew Bayly</v>
          </cell>
          <cell r="B4">
            <v>2378.08</v>
          </cell>
          <cell r="C4" t="str">
            <v>055 - Chris Baillie</v>
          </cell>
          <cell r="D4">
            <v>79.34</v>
          </cell>
          <cell r="E4" t="str">
            <v>023 - Ginny Andersen</v>
          </cell>
          <cell r="F4">
            <v>1420.92</v>
          </cell>
          <cell r="G4" t="str">
            <v>013 - Kiri Allan</v>
          </cell>
          <cell r="H4">
            <v>224.17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B7FA0-58FC-4EE4-B566-B373DC01FAB9}">
  <sheetPr>
    <pageSetUpPr fitToPage="1"/>
  </sheetPr>
  <dimension ref="A1:I135"/>
  <sheetViews>
    <sheetView tabSelected="1" zoomScaleNormal="100" workbookViewId="0">
      <pane ySplit="4" topLeftCell="A5" activePane="bottomLeft" state="frozen"/>
      <selection pane="bottomLeft" activeCell="A95" sqref="A95"/>
    </sheetView>
  </sheetViews>
  <sheetFormatPr defaultRowHeight="15" x14ac:dyDescent="0.25"/>
  <cols>
    <col min="1" max="1" width="19.5703125" bestFit="1" customWidth="1"/>
    <col min="2" max="2" width="22.5703125" bestFit="1" customWidth="1"/>
    <col min="3" max="3" width="10.7109375" style="2" customWidth="1"/>
    <col min="4" max="4" width="15.140625" style="2" bestFit="1" customWidth="1"/>
    <col min="5" max="5" width="8.5703125" style="1" bestFit="1" customWidth="1"/>
    <col min="6" max="6" width="9.140625" style="1"/>
    <col min="7" max="7" width="14.140625" bestFit="1" customWidth="1"/>
    <col min="8" max="8" width="11.5703125" style="1" bestFit="1" customWidth="1"/>
    <col min="9" max="9" width="18.5703125" customWidth="1"/>
  </cols>
  <sheetData>
    <row r="1" spans="1:9" x14ac:dyDescent="0.25">
      <c r="A1" s="36" t="s">
        <v>144</v>
      </c>
      <c r="B1" s="36"/>
      <c r="C1" s="36"/>
      <c r="D1" s="36"/>
      <c r="E1" s="36"/>
      <c r="F1" s="36"/>
      <c r="G1" s="36"/>
      <c r="H1" s="36"/>
      <c r="I1" s="36"/>
    </row>
    <row r="2" spans="1:9" ht="15.75" thickBot="1" x14ac:dyDescent="0.3">
      <c r="A2" s="36"/>
      <c r="B2" s="37"/>
      <c r="C2" s="37"/>
      <c r="D2" s="37"/>
      <c r="E2" s="37"/>
      <c r="F2" s="37"/>
      <c r="G2" s="37"/>
      <c r="H2" s="37"/>
      <c r="I2" s="37"/>
    </row>
    <row r="3" spans="1:9" ht="15.75" thickBot="1" x14ac:dyDescent="0.3">
      <c r="A3" s="38" t="s">
        <v>143</v>
      </c>
      <c r="B3" s="38" t="s">
        <v>142</v>
      </c>
      <c r="C3" s="40" t="s">
        <v>141</v>
      </c>
      <c r="D3" s="40"/>
      <c r="E3" s="41" t="s">
        <v>140</v>
      </c>
      <c r="F3" s="42"/>
      <c r="G3" s="43"/>
      <c r="H3" s="44" t="s">
        <v>2</v>
      </c>
      <c r="I3" s="33" t="s">
        <v>139</v>
      </c>
    </row>
    <row r="4" spans="1:9" ht="17.100000000000001" customHeight="1" thickBot="1" x14ac:dyDescent="0.3">
      <c r="A4" s="39"/>
      <c r="B4" s="39"/>
      <c r="C4" s="31" t="s">
        <v>138</v>
      </c>
      <c r="D4" s="32" t="s">
        <v>137</v>
      </c>
      <c r="E4" s="31" t="s">
        <v>136</v>
      </c>
      <c r="F4" s="31" t="s">
        <v>135</v>
      </c>
      <c r="G4" s="31" t="s">
        <v>134</v>
      </c>
      <c r="H4" s="45" t="s">
        <v>2</v>
      </c>
      <c r="I4" s="34" t="s">
        <v>2</v>
      </c>
    </row>
    <row r="5" spans="1:9" x14ac:dyDescent="0.25">
      <c r="A5" s="24" t="s">
        <v>133</v>
      </c>
      <c r="B5" s="21" t="s">
        <v>132</v>
      </c>
      <c r="C5" s="20">
        <v>8323.2800000000007</v>
      </c>
      <c r="D5" s="18">
        <v>0</v>
      </c>
      <c r="E5" s="20">
        <v>4606.12</v>
      </c>
      <c r="F5" s="20">
        <v>1194.32</v>
      </c>
      <c r="G5" s="18">
        <v>0</v>
      </c>
      <c r="H5" s="19">
        <v>14123.720000000001</v>
      </c>
      <c r="I5" s="18">
        <v>0</v>
      </c>
    </row>
    <row r="6" spans="1:9" x14ac:dyDescent="0.25">
      <c r="A6" s="30"/>
      <c r="B6" s="21" t="s">
        <v>131</v>
      </c>
      <c r="C6" s="20">
        <v>8323.2800000000007</v>
      </c>
      <c r="D6" s="20">
        <v>1455.83</v>
      </c>
      <c r="E6" s="20">
        <v>4785.97</v>
      </c>
      <c r="F6" s="20">
        <v>1508.43</v>
      </c>
      <c r="G6" s="18">
        <v>0</v>
      </c>
      <c r="H6" s="19">
        <v>16073.510000000002</v>
      </c>
      <c r="I6" s="18">
        <v>0</v>
      </c>
    </row>
    <row r="7" spans="1:9" x14ac:dyDescent="0.25">
      <c r="A7" s="30"/>
      <c r="B7" s="21" t="s">
        <v>130</v>
      </c>
      <c r="C7" s="20">
        <v>8323.2800000000007</v>
      </c>
      <c r="D7" s="20">
        <v>201.38</v>
      </c>
      <c r="E7" s="20">
        <v>4463.75</v>
      </c>
      <c r="F7" s="20">
        <v>2259.71</v>
      </c>
      <c r="G7" s="18">
        <v>0</v>
      </c>
      <c r="H7" s="19">
        <v>15248.119999999999</v>
      </c>
      <c r="I7" s="18">
        <v>0</v>
      </c>
    </row>
    <row r="8" spans="1:9" x14ac:dyDescent="0.25">
      <c r="A8" s="30"/>
      <c r="B8" s="21" t="s">
        <v>129</v>
      </c>
      <c r="C8" s="20">
        <v>8323.2800000000007</v>
      </c>
      <c r="D8" s="20">
        <v>1261.47</v>
      </c>
      <c r="E8" s="20">
        <v>7118.4599999999991</v>
      </c>
      <c r="F8" s="20">
        <v>1519.61</v>
      </c>
      <c r="G8" s="18">
        <v>0</v>
      </c>
      <c r="H8" s="19">
        <v>18222.82</v>
      </c>
      <c r="I8" s="18">
        <v>0</v>
      </c>
    </row>
    <row r="9" spans="1:9" x14ac:dyDescent="0.25">
      <c r="A9" s="30"/>
      <c r="B9" s="21" t="s">
        <v>128</v>
      </c>
      <c r="C9" s="18" t="s">
        <v>127</v>
      </c>
      <c r="D9" s="20">
        <v>199.57</v>
      </c>
      <c r="E9" s="20">
        <v>1854.46</v>
      </c>
      <c r="F9" s="20">
        <v>1422.58</v>
      </c>
      <c r="G9" s="18">
        <v>0</v>
      </c>
      <c r="H9" s="19">
        <v>3476.61</v>
      </c>
      <c r="I9" s="18">
        <v>0</v>
      </c>
    </row>
    <row r="10" spans="1:9" x14ac:dyDescent="0.25">
      <c r="A10" s="30"/>
      <c r="B10" s="21" t="s">
        <v>126</v>
      </c>
      <c r="C10" s="18">
        <v>0</v>
      </c>
      <c r="D10" s="20">
        <v>410</v>
      </c>
      <c r="E10" s="20">
        <v>3849.02</v>
      </c>
      <c r="F10" s="20">
        <v>271.06</v>
      </c>
      <c r="G10" s="18">
        <v>0</v>
      </c>
      <c r="H10" s="19">
        <v>4530.0800000000008</v>
      </c>
      <c r="I10" s="18">
        <v>0</v>
      </c>
    </row>
    <row r="11" spans="1:9" x14ac:dyDescent="0.25">
      <c r="A11" s="30"/>
      <c r="B11" s="21" t="s">
        <v>125</v>
      </c>
      <c r="C11" s="20">
        <v>8323.2800000000007</v>
      </c>
      <c r="D11" s="20">
        <v>1365.51</v>
      </c>
      <c r="E11" s="20">
        <v>4904.53</v>
      </c>
      <c r="F11" s="20">
        <v>915.07</v>
      </c>
      <c r="G11" s="18">
        <v>0</v>
      </c>
      <c r="H11" s="19">
        <v>15508.39</v>
      </c>
      <c r="I11" s="18">
        <v>0</v>
      </c>
    </row>
    <row r="12" spans="1:9" x14ac:dyDescent="0.25">
      <c r="A12" s="30"/>
      <c r="B12" s="21" t="s">
        <v>124</v>
      </c>
      <c r="C12" s="20">
        <v>7420</v>
      </c>
      <c r="D12" s="18">
        <v>0</v>
      </c>
      <c r="E12" s="20">
        <v>5128.78</v>
      </c>
      <c r="F12" s="20">
        <v>2420.0700000000002</v>
      </c>
      <c r="G12" s="18">
        <v>0</v>
      </c>
      <c r="H12" s="19">
        <v>14968.849999999999</v>
      </c>
      <c r="I12" s="18">
        <v>0</v>
      </c>
    </row>
    <row r="13" spans="1:9" x14ac:dyDescent="0.25">
      <c r="A13" s="30"/>
      <c r="B13" s="21" t="s">
        <v>123</v>
      </c>
      <c r="C13" s="20">
        <v>8323.2800000000007</v>
      </c>
      <c r="D13" s="18">
        <v>0</v>
      </c>
      <c r="E13" s="20">
        <v>2917.85</v>
      </c>
      <c r="F13" s="20">
        <v>3027.49</v>
      </c>
      <c r="G13" s="18">
        <v>0</v>
      </c>
      <c r="H13" s="19">
        <v>14268.62</v>
      </c>
      <c r="I13" s="18">
        <v>0</v>
      </c>
    </row>
    <row r="14" spans="1:9" ht="15.75" thickBot="1" x14ac:dyDescent="0.3">
      <c r="A14" s="30"/>
      <c r="B14" s="21" t="s">
        <v>122</v>
      </c>
      <c r="C14" s="20">
        <v>4577.79</v>
      </c>
      <c r="D14" s="20">
        <v>495.97</v>
      </c>
      <c r="E14" s="20">
        <v>4715.37</v>
      </c>
      <c r="F14" s="20">
        <v>2369.36</v>
      </c>
      <c r="G14" s="18">
        <v>0</v>
      </c>
      <c r="H14" s="19">
        <v>12158.490000000002</v>
      </c>
      <c r="I14" s="18">
        <v>0</v>
      </c>
    </row>
    <row r="15" spans="1:9" ht="15.75" thickBot="1" x14ac:dyDescent="0.3">
      <c r="A15" s="11" t="s">
        <v>121</v>
      </c>
      <c r="B15" s="10"/>
      <c r="C15" s="9">
        <v>61937.47</v>
      </c>
      <c r="D15" s="9">
        <v>5389.7300000000005</v>
      </c>
      <c r="E15" s="9">
        <v>44344.31</v>
      </c>
      <c r="F15" s="9">
        <v>16907.7</v>
      </c>
      <c r="G15" s="25">
        <v>0</v>
      </c>
      <c r="H15" s="8">
        <v>128579.20999999999</v>
      </c>
      <c r="I15" s="25">
        <v>0</v>
      </c>
    </row>
    <row r="16" spans="1:9" x14ac:dyDescent="0.25">
      <c r="A16" s="24" t="s">
        <v>120</v>
      </c>
      <c r="B16" s="21" t="s">
        <v>119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</row>
    <row r="17" spans="1:9" x14ac:dyDescent="0.25">
      <c r="A17" s="22"/>
      <c r="B17" s="21" t="s">
        <v>118</v>
      </c>
      <c r="C17" s="18">
        <v>0</v>
      </c>
      <c r="D17" s="20">
        <v>137.47999999999999</v>
      </c>
      <c r="E17" s="20">
        <v>2025.22</v>
      </c>
      <c r="F17" s="20">
        <v>162.35</v>
      </c>
      <c r="G17" s="18">
        <v>0</v>
      </c>
      <c r="H17" s="19">
        <v>2325.0499999999997</v>
      </c>
      <c r="I17" s="18">
        <v>0</v>
      </c>
    </row>
    <row r="18" spans="1:9" x14ac:dyDescent="0.25">
      <c r="A18" s="22"/>
      <c r="B18" s="21" t="s">
        <v>117</v>
      </c>
      <c r="C18" s="20">
        <v>4429.6000000000004</v>
      </c>
      <c r="D18" s="18">
        <v>0</v>
      </c>
      <c r="E18" s="20">
        <v>5674.85</v>
      </c>
      <c r="F18" s="20">
        <v>1923.65</v>
      </c>
      <c r="G18" s="18">
        <v>0</v>
      </c>
      <c r="H18" s="19">
        <v>12028.1</v>
      </c>
      <c r="I18" s="18">
        <v>0</v>
      </c>
    </row>
    <row r="19" spans="1:9" x14ac:dyDescent="0.25">
      <c r="A19" s="22"/>
      <c r="B19" s="21" t="s">
        <v>116</v>
      </c>
      <c r="C19" s="18">
        <v>0</v>
      </c>
      <c r="D19" s="20">
        <v>1151.83</v>
      </c>
      <c r="E19" s="20">
        <v>3524.88</v>
      </c>
      <c r="F19" s="20">
        <v>2142.79</v>
      </c>
      <c r="G19" s="18">
        <v>0</v>
      </c>
      <c r="H19" s="19">
        <v>6819.5</v>
      </c>
      <c r="I19" s="18">
        <v>0</v>
      </c>
    </row>
    <row r="20" spans="1:9" x14ac:dyDescent="0.25">
      <c r="A20" s="22"/>
      <c r="B20" s="21" t="s">
        <v>115</v>
      </c>
      <c r="C20" s="20">
        <v>8323.2800000000007</v>
      </c>
      <c r="D20" s="18">
        <v>0</v>
      </c>
      <c r="E20" s="20">
        <v>3967.21</v>
      </c>
      <c r="F20" s="20">
        <v>1272.43</v>
      </c>
      <c r="G20" s="18">
        <v>0</v>
      </c>
      <c r="H20" s="19">
        <v>13562.920000000002</v>
      </c>
      <c r="I20" s="19">
        <f>1109.18</f>
        <v>1109.18</v>
      </c>
    </row>
    <row r="21" spans="1:9" x14ac:dyDescent="0.25">
      <c r="A21" s="22"/>
      <c r="B21" s="21" t="s">
        <v>114</v>
      </c>
      <c r="C21" s="20">
        <v>5826.31</v>
      </c>
      <c r="D21" s="20">
        <v>922.01</v>
      </c>
      <c r="E21" s="20">
        <v>7410.63</v>
      </c>
      <c r="F21" s="20">
        <v>788.69</v>
      </c>
      <c r="G21" s="18">
        <v>0</v>
      </c>
      <c r="H21" s="19">
        <v>14947.640000000001</v>
      </c>
      <c r="I21" s="18">
        <v>0</v>
      </c>
    </row>
    <row r="22" spans="1:9" x14ac:dyDescent="0.25">
      <c r="A22" s="22"/>
      <c r="B22" s="21" t="s">
        <v>113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</row>
    <row r="23" spans="1:9" x14ac:dyDescent="0.25">
      <c r="A23" s="22"/>
      <c r="B23" s="21" t="s">
        <v>112</v>
      </c>
      <c r="C23" s="20">
        <v>4440.95</v>
      </c>
      <c r="D23" s="20">
        <v>131.27000000000001</v>
      </c>
      <c r="E23" s="20">
        <v>1454.38</v>
      </c>
      <c r="F23" s="20">
        <v>1330.2</v>
      </c>
      <c r="G23" s="18">
        <v>0</v>
      </c>
      <c r="H23" s="19">
        <v>7356.8</v>
      </c>
      <c r="I23" s="18">
        <v>0</v>
      </c>
    </row>
    <row r="24" spans="1:9" ht="15.75" thickBot="1" x14ac:dyDescent="0.3">
      <c r="A24" s="22"/>
      <c r="B24" s="21" t="s">
        <v>111</v>
      </c>
      <c r="C24" s="20">
        <v>7554.55</v>
      </c>
      <c r="D24" s="20">
        <v>2917.8</v>
      </c>
      <c r="E24" s="20">
        <v>9577.7800000000007</v>
      </c>
      <c r="F24" s="20">
        <v>1953.07</v>
      </c>
      <c r="G24" s="18">
        <v>0</v>
      </c>
      <c r="H24" s="19">
        <v>22003.200000000001</v>
      </c>
      <c r="I24" s="18">
        <v>0</v>
      </c>
    </row>
    <row r="25" spans="1:9" ht="15.75" thickBot="1" x14ac:dyDescent="0.3">
      <c r="A25" s="11" t="s">
        <v>110</v>
      </c>
      <c r="B25" s="10"/>
      <c r="C25" s="9">
        <v>30574.690000000002</v>
      </c>
      <c r="D25" s="9">
        <v>5260.3899999999994</v>
      </c>
      <c r="E25" s="9">
        <v>33634.950000000004</v>
      </c>
      <c r="F25" s="9">
        <v>9573.18</v>
      </c>
      <c r="G25" s="25">
        <v>0</v>
      </c>
      <c r="H25" s="8">
        <v>79043.209999999992</v>
      </c>
      <c r="I25" s="29">
        <f>I20</f>
        <v>1109.18</v>
      </c>
    </row>
    <row r="26" spans="1:9" x14ac:dyDescent="0.25">
      <c r="A26" s="28" t="s">
        <v>109</v>
      </c>
      <c r="B26" s="21" t="s">
        <v>108</v>
      </c>
      <c r="C26" s="20">
        <v>8323.2800000000007</v>
      </c>
      <c r="D26" s="20">
        <v>1288.26</v>
      </c>
      <c r="E26" s="20">
        <v>10387.31</v>
      </c>
      <c r="F26" s="20">
        <v>3726.49</v>
      </c>
      <c r="G26" s="18">
        <v>0</v>
      </c>
      <c r="H26" s="19">
        <v>23725.339999999997</v>
      </c>
      <c r="I26" s="23">
        <v>0</v>
      </c>
    </row>
    <row r="27" spans="1:9" ht="15.75" thickBot="1" x14ac:dyDescent="0.3">
      <c r="A27" s="27"/>
      <c r="B27" s="21" t="s">
        <v>107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23">
        <v>0</v>
      </c>
    </row>
    <row r="28" spans="1:9" ht="15.75" thickBot="1" x14ac:dyDescent="0.3">
      <c r="A28" s="11" t="s">
        <v>106</v>
      </c>
      <c r="B28" s="10"/>
      <c r="C28" s="9">
        <v>8323.2800000000007</v>
      </c>
      <c r="D28" s="9">
        <v>1288.26</v>
      </c>
      <c r="E28" s="9">
        <v>10387.31</v>
      </c>
      <c r="F28" s="9">
        <v>3726.49</v>
      </c>
      <c r="G28" s="25">
        <v>0</v>
      </c>
      <c r="H28" s="8">
        <v>23725.339999999997</v>
      </c>
      <c r="I28" s="25">
        <v>0</v>
      </c>
    </row>
    <row r="29" spans="1:9" x14ac:dyDescent="0.25">
      <c r="A29" s="24" t="s">
        <v>105</v>
      </c>
      <c r="B29" s="21" t="s">
        <v>104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</row>
    <row r="30" spans="1:9" x14ac:dyDescent="0.25">
      <c r="A30" s="22"/>
      <c r="B30" s="21" t="s">
        <v>103</v>
      </c>
      <c r="C30" s="18">
        <v>0</v>
      </c>
      <c r="D30" s="20">
        <v>754.56</v>
      </c>
      <c r="E30" s="20">
        <v>1152.17</v>
      </c>
      <c r="F30" s="20">
        <v>3238.81</v>
      </c>
      <c r="G30" s="18">
        <v>0</v>
      </c>
      <c r="H30" s="19">
        <v>5145.54</v>
      </c>
      <c r="I30" s="18">
        <v>0</v>
      </c>
    </row>
    <row r="31" spans="1:9" x14ac:dyDescent="0.25">
      <c r="A31" s="22"/>
      <c r="B31" s="21" t="s">
        <v>102</v>
      </c>
      <c r="C31" s="18">
        <v>0</v>
      </c>
      <c r="D31" s="18">
        <v>0</v>
      </c>
      <c r="E31" s="20">
        <v>4113.46</v>
      </c>
      <c r="F31" s="18">
        <v>0</v>
      </c>
      <c r="G31" s="18">
        <v>0</v>
      </c>
      <c r="H31" s="19">
        <v>4113.46</v>
      </c>
      <c r="I31" s="18">
        <v>0</v>
      </c>
    </row>
    <row r="32" spans="1:9" x14ac:dyDescent="0.25">
      <c r="A32" s="22"/>
      <c r="B32" s="21" t="s">
        <v>101</v>
      </c>
      <c r="C32" s="20">
        <v>1529.56</v>
      </c>
      <c r="D32" s="18">
        <v>0</v>
      </c>
      <c r="E32" s="20">
        <v>4597.6099999999997</v>
      </c>
      <c r="F32" s="20">
        <v>1681.38</v>
      </c>
      <c r="G32" s="18">
        <v>0</v>
      </c>
      <c r="H32" s="19">
        <v>7808.55</v>
      </c>
      <c r="I32" s="18">
        <v>0</v>
      </c>
    </row>
    <row r="33" spans="1:9" x14ac:dyDescent="0.25">
      <c r="A33" s="22"/>
      <c r="B33" s="21" t="s">
        <v>100</v>
      </c>
      <c r="C33" s="20">
        <v>8323.2800000000007</v>
      </c>
      <c r="D33" s="20">
        <v>370.75</v>
      </c>
      <c r="E33" s="20">
        <v>10817.4</v>
      </c>
      <c r="F33" s="20">
        <v>1675.44</v>
      </c>
      <c r="G33" s="18">
        <v>0</v>
      </c>
      <c r="H33" s="19">
        <v>21186.87</v>
      </c>
      <c r="I33" s="18">
        <v>0</v>
      </c>
    </row>
    <row r="34" spans="1:9" x14ac:dyDescent="0.25">
      <c r="A34" s="22"/>
      <c r="B34" s="21" t="s">
        <v>99</v>
      </c>
      <c r="C34" s="20">
        <v>8323.2800000000007</v>
      </c>
      <c r="D34" s="20">
        <v>1492.72</v>
      </c>
      <c r="E34" s="20">
        <v>9556.77</v>
      </c>
      <c r="F34" s="20">
        <v>1727.71</v>
      </c>
      <c r="G34" s="18">
        <v>0</v>
      </c>
      <c r="H34" s="19">
        <v>21100.48</v>
      </c>
      <c r="I34" s="18">
        <v>0</v>
      </c>
    </row>
    <row r="35" spans="1:9" x14ac:dyDescent="0.25">
      <c r="A35" s="22"/>
      <c r="B35" s="21" t="s">
        <v>98</v>
      </c>
      <c r="C35" s="20">
        <v>5642.35</v>
      </c>
      <c r="D35" s="20">
        <v>1143.48</v>
      </c>
      <c r="E35" s="20">
        <v>9077.67</v>
      </c>
      <c r="F35" s="20">
        <v>4565.34</v>
      </c>
      <c r="G35" s="18">
        <v>0</v>
      </c>
      <c r="H35" s="19">
        <v>20428.84</v>
      </c>
      <c r="I35" s="18">
        <v>0</v>
      </c>
    </row>
    <row r="36" spans="1:9" x14ac:dyDescent="0.25">
      <c r="A36" s="22"/>
      <c r="B36" s="21" t="s">
        <v>97</v>
      </c>
      <c r="C36" s="20">
        <v>4756.16</v>
      </c>
      <c r="D36" s="18">
        <v>0</v>
      </c>
      <c r="E36" s="20">
        <v>7445.99</v>
      </c>
      <c r="F36" s="18">
        <v>0</v>
      </c>
      <c r="G36" s="18">
        <v>0</v>
      </c>
      <c r="H36" s="19">
        <v>12202.15</v>
      </c>
      <c r="I36" s="19">
        <f>54+1118.82</f>
        <v>1172.82</v>
      </c>
    </row>
    <row r="37" spans="1:9" x14ac:dyDescent="0.25">
      <c r="A37" s="22"/>
      <c r="B37" s="21" t="s">
        <v>96</v>
      </c>
      <c r="C37" s="20">
        <v>4501.37</v>
      </c>
      <c r="D37" s="18">
        <v>0</v>
      </c>
      <c r="E37" s="20">
        <v>5358.87</v>
      </c>
      <c r="F37" s="18">
        <v>0</v>
      </c>
      <c r="G37" s="18">
        <v>0</v>
      </c>
      <c r="H37" s="19">
        <v>9860.24</v>
      </c>
      <c r="I37" s="18">
        <v>0</v>
      </c>
    </row>
    <row r="38" spans="1:9" x14ac:dyDescent="0.25">
      <c r="A38" s="22"/>
      <c r="B38" s="21" t="s">
        <v>95</v>
      </c>
      <c r="C38" s="20">
        <v>5826.31</v>
      </c>
      <c r="D38" s="18">
        <v>0</v>
      </c>
      <c r="E38" s="20">
        <v>3828.92</v>
      </c>
      <c r="F38" s="18">
        <v>0</v>
      </c>
      <c r="G38" s="18">
        <v>0</v>
      </c>
      <c r="H38" s="19">
        <v>9655.23</v>
      </c>
      <c r="I38" s="18">
        <v>0</v>
      </c>
    </row>
    <row r="39" spans="1:9" x14ac:dyDescent="0.25">
      <c r="A39" s="22"/>
      <c r="B39" s="21" t="s">
        <v>94</v>
      </c>
      <c r="C39" s="20">
        <v>8323.2800000000007</v>
      </c>
      <c r="D39" s="20">
        <v>565.88</v>
      </c>
      <c r="E39" s="20">
        <v>4665.25</v>
      </c>
      <c r="F39" s="20">
        <v>535.23</v>
      </c>
      <c r="G39" s="18">
        <v>0</v>
      </c>
      <c r="H39" s="19">
        <v>14089.64</v>
      </c>
      <c r="I39" s="18">
        <v>0</v>
      </c>
    </row>
    <row r="40" spans="1:9" x14ac:dyDescent="0.25">
      <c r="A40" s="22"/>
      <c r="B40" s="21" t="s">
        <v>93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</row>
    <row r="41" spans="1:9" x14ac:dyDescent="0.25">
      <c r="A41" s="22"/>
      <c r="B41" s="21" t="s">
        <v>92</v>
      </c>
      <c r="C41" s="18">
        <v>0</v>
      </c>
      <c r="D41" s="20">
        <v>2784.01</v>
      </c>
      <c r="E41" s="20">
        <v>8132.55</v>
      </c>
      <c r="F41" s="20">
        <v>4095.39</v>
      </c>
      <c r="G41" s="18">
        <v>0</v>
      </c>
      <c r="H41" s="19">
        <v>15011.95</v>
      </c>
      <c r="I41" s="18">
        <v>0</v>
      </c>
    </row>
    <row r="42" spans="1:9" x14ac:dyDescent="0.25">
      <c r="A42" s="22"/>
      <c r="B42" s="21" t="s">
        <v>91</v>
      </c>
      <c r="C42" s="18">
        <v>0</v>
      </c>
      <c r="D42" s="20">
        <v>1726.73</v>
      </c>
      <c r="E42" s="20">
        <v>1471.8</v>
      </c>
      <c r="F42" s="20">
        <v>3247.22</v>
      </c>
      <c r="G42" s="18">
        <v>0</v>
      </c>
      <c r="H42" s="19">
        <v>6445.75</v>
      </c>
      <c r="I42" s="18">
        <v>0</v>
      </c>
    </row>
    <row r="43" spans="1:9" x14ac:dyDescent="0.25">
      <c r="A43" s="22"/>
      <c r="B43" s="21" t="s">
        <v>90</v>
      </c>
      <c r="C43" s="20">
        <v>8323.2800000000007</v>
      </c>
      <c r="D43" s="18">
        <v>0</v>
      </c>
      <c r="E43" s="20">
        <v>5888.94</v>
      </c>
      <c r="F43" s="20">
        <v>1071.93</v>
      </c>
      <c r="G43" s="18">
        <v>0</v>
      </c>
      <c r="H43" s="19">
        <v>15284.150000000001</v>
      </c>
      <c r="I43" s="19">
        <f>140.11</f>
        <v>140.11000000000001</v>
      </c>
    </row>
    <row r="44" spans="1:9" x14ac:dyDescent="0.25">
      <c r="A44" s="22"/>
      <c r="B44" s="21" t="s">
        <v>89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</row>
    <row r="45" spans="1:9" x14ac:dyDescent="0.25">
      <c r="A45" s="22"/>
      <c r="B45" s="21" t="s">
        <v>88</v>
      </c>
      <c r="C45" s="20">
        <v>5826.31</v>
      </c>
      <c r="D45" s="20">
        <v>847.1</v>
      </c>
      <c r="E45" s="20">
        <v>6168.2</v>
      </c>
      <c r="F45" s="20">
        <v>1431.15</v>
      </c>
      <c r="G45" s="18">
        <v>0</v>
      </c>
      <c r="H45" s="19">
        <v>14272.76</v>
      </c>
      <c r="I45" s="19">
        <f>20</f>
        <v>20</v>
      </c>
    </row>
    <row r="46" spans="1:9" x14ac:dyDescent="0.25">
      <c r="A46" s="22"/>
      <c r="B46" s="21" t="s">
        <v>87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</row>
    <row r="47" spans="1:9" x14ac:dyDescent="0.25">
      <c r="A47" s="22"/>
      <c r="B47" s="21" t="s">
        <v>86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</row>
    <row r="48" spans="1:9" x14ac:dyDescent="0.25">
      <c r="A48" s="22"/>
      <c r="B48" s="21" t="s">
        <v>85</v>
      </c>
      <c r="C48" s="20">
        <v>8323.2800000000007</v>
      </c>
      <c r="D48" s="20">
        <v>1259.5999999999999</v>
      </c>
      <c r="E48" s="20">
        <v>4715.8599999999997</v>
      </c>
      <c r="F48" s="20">
        <v>3697.7</v>
      </c>
      <c r="G48" s="18">
        <v>0</v>
      </c>
      <c r="H48" s="19">
        <v>17996.440000000002</v>
      </c>
      <c r="I48" s="18">
        <v>0</v>
      </c>
    </row>
    <row r="49" spans="1:9" x14ac:dyDescent="0.25">
      <c r="A49" s="22"/>
      <c r="B49" s="21" t="s">
        <v>84</v>
      </c>
      <c r="C49" s="20">
        <v>8323.2800000000007</v>
      </c>
      <c r="D49" s="20">
        <v>800.39</v>
      </c>
      <c r="E49" s="20">
        <v>9879.66</v>
      </c>
      <c r="F49" s="20">
        <v>3157.11</v>
      </c>
      <c r="G49" s="18">
        <v>0</v>
      </c>
      <c r="H49" s="19">
        <v>22160.440000000002</v>
      </c>
      <c r="I49" s="19">
        <f>325.88</f>
        <v>325.88</v>
      </c>
    </row>
    <row r="50" spans="1:9" x14ac:dyDescent="0.25">
      <c r="A50" s="22"/>
      <c r="B50" s="21" t="s">
        <v>83</v>
      </c>
      <c r="C50" s="20">
        <v>8323.2800000000007</v>
      </c>
      <c r="D50" s="20">
        <v>2347.11</v>
      </c>
      <c r="E50" s="20">
        <v>5359</v>
      </c>
      <c r="F50" s="20">
        <v>1356.44</v>
      </c>
      <c r="G50" s="18">
        <v>0</v>
      </c>
      <c r="H50" s="19">
        <v>17385.830000000002</v>
      </c>
      <c r="I50" s="19">
        <f>18557.95+1109.18</f>
        <v>19667.13</v>
      </c>
    </row>
    <row r="51" spans="1:9" x14ac:dyDescent="0.25">
      <c r="A51" s="22"/>
      <c r="B51" s="21" t="s">
        <v>82</v>
      </c>
      <c r="C51" s="20">
        <v>8319.7999999999993</v>
      </c>
      <c r="D51" s="18">
        <v>0</v>
      </c>
      <c r="E51" s="20">
        <v>623.16</v>
      </c>
      <c r="F51" s="20">
        <v>1674.33</v>
      </c>
      <c r="G51" s="18">
        <v>0</v>
      </c>
      <c r="H51" s="19">
        <v>10617.289999999999</v>
      </c>
      <c r="I51" s="18">
        <v>0</v>
      </c>
    </row>
    <row r="52" spans="1:9" x14ac:dyDescent="0.25">
      <c r="A52" s="22"/>
      <c r="B52" s="21" t="s">
        <v>81</v>
      </c>
      <c r="C52" s="18">
        <v>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</row>
    <row r="53" spans="1:9" x14ac:dyDescent="0.25">
      <c r="A53" s="22"/>
      <c r="B53" s="21" t="s">
        <v>80</v>
      </c>
      <c r="C53" s="20">
        <v>8323.2800000000007</v>
      </c>
      <c r="D53" s="20">
        <v>450.44</v>
      </c>
      <c r="E53" s="20">
        <v>6314.17</v>
      </c>
      <c r="F53" s="20">
        <v>3786.58</v>
      </c>
      <c r="G53" s="18">
        <v>0</v>
      </c>
      <c r="H53" s="19">
        <v>18874.47</v>
      </c>
      <c r="I53" s="18">
        <v>0</v>
      </c>
    </row>
    <row r="54" spans="1:9" x14ac:dyDescent="0.25">
      <c r="A54" s="22"/>
      <c r="B54" s="21" t="s">
        <v>79</v>
      </c>
      <c r="C54" s="20">
        <v>8323.2800000000007</v>
      </c>
      <c r="D54" s="20">
        <v>371.26</v>
      </c>
      <c r="E54" s="20">
        <v>3912.4</v>
      </c>
      <c r="F54" s="20">
        <v>3732.25</v>
      </c>
      <c r="G54" s="18">
        <v>0</v>
      </c>
      <c r="H54" s="19">
        <v>16339.19</v>
      </c>
      <c r="I54" s="18">
        <v>0</v>
      </c>
    </row>
    <row r="55" spans="1:9" x14ac:dyDescent="0.25">
      <c r="A55" s="22"/>
      <c r="B55" s="21" t="s">
        <v>78</v>
      </c>
      <c r="C55" s="20">
        <v>3736.98</v>
      </c>
      <c r="D55" s="18">
        <v>0</v>
      </c>
      <c r="E55" s="20">
        <v>3123.09</v>
      </c>
      <c r="F55" s="20">
        <v>4944.82</v>
      </c>
      <c r="G55" s="18">
        <v>0</v>
      </c>
      <c r="H55" s="19">
        <v>11804.89</v>
      </c>
      <c r="I55" s="18">
        <v>0</v>
      </c>
    </row>
    <row r="56" spans="1:9" x14ac:dyDescent="0.25">
      <c r="A56" s="22"/>
      <c r="B56" s="21" t="s">
        <v>77</v>
      </c>
      <c r="C56" s="18">
        <v>0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</row>
    <row r="57" spans="1:9" x14ac:dyDescent="0.25">
      <c r="A57" s="22"/>
      <c r="B57" s="21" t="s">
        <v>76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</row>
    <row r="58" spans="1:9" x14ac:dyDescent="0.25">
      <c r="A58" s="22"/>
      <c r="B58" s="21" t="s">
        <v>75</v>
      </c>
      <c r="C58" s="20">
        <v>8323.2800000000007</v>
      </c>
      <c r="D58" s="20">
        <v>406.23</v>
      </c>
      <c r="E58" s="20">
        <v>5321.41</v>
      </c>
      <c r="F58" s="20">
        <v>1414.65</v>
      </c>
      <c r="G58" s="18">
        <v>0</v>
      </c>
      <c r="H58" s="19">
        <v>15465.57</v>
      </c>
      <c r="I58" s="18">
        <v>0</v>
      </c>
    </row>
    <row r="59" spans="1:9" x14ac:dyDescent="0.25">
      <c r="A59" s="22"/>
      <c r="B59" s="21" t="s">
        <v>74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</row>
    <row r="60" spans="1:9" x14ac:dyDescent="0.25">
      <c r="A60" s="22"/>
      <c r="B60" s="21" t="s">
        <v>73</v>
      </c>
      <c r="C60" s="20">
        <v>3551.13</v>
      </c>
      <c r="D60" s="20">
        <v>1544</v>
      </c>
      <c r="E60" s="20">
        <v>9338.2900000000009</v>
      </c>
      <c r="F60" s="20">
        <v>1934.96</v>
      </c>
      <c r="G60" s="18">
        <v>0</v>
      </c>
      <c r="H60" s="19">
        <v>16368.380000000001</v>
      </c>
      <c r="I60" s="18">
        <v>0</v>
      </c>
    </row>
    <row r="61" spans="1:9" x14ac:dyDescent="0.25">
      <c r="A61" s="22"/>
      <c r="B61" s="21" t="s">
        <v>72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</row>
    <row r="62" spans="1:9" x14ac:dyDescent="0.25">
      <c r="A62" s="22"/>
      <c r="B62" s="21" t="s">
        <v>71</v>
      </c>
      <c r="C62" s="18">
        <v>0</v>
      </c>
      <c r="D62" s="20">
        <v>851.79</v>
      </c>
      <c r="E62" s="20">
        <v>2295.38</v>
      </c>
      <c r="F62" s="20">
        <v>2590.33</v>
      </c>
      <c r="G62" s="18">
        <v>0</v>
      </c>
      <c r="H62" s="19">
        <v>5737.5</v>
      </c>
      <c r="I62" s="18">
        <v>0</v>
      </c>
    </row>
    <row r="63" spans="1:9" x14ac:dyDescent="0.25">
      <c r="A63" s="22"/>
      <c r="B63" s="21" t="s">
        <v>70</v>
      </c>
      <c r="C63" s="20">
        <v>8323.2800000000007</v>
      </c>
      <c r="D63" s="20">
        <v>552.72</v>
      </c>
      <c r="E63" s="20">
        <v>8752.93</v>
      </c>
      <c r="F63" s="20">
        <v>5317.92</v>
      </c>
      <c r="G63" s="18">
        <v>0</v>
      </c>
      <c r="H63" s="19">
        <v>22946.85</v>
      </c>
      <c r="I63" s="18">
        <v>0</v>
      </c>
    </row>
    <row r="64" spans="1:9" x14ac:dyDescent="0.25">
      <c r="A64" s="22"/>
      <c r="B64" s="21" t="s">
        <v>69</v>
      </c>
      <c r="C64" s="20">
        <v>8323.2800000000007</v>
      </c>
      <c r="D64" s="20">
        <v>798.47</v>
      </c>
      <c r="E64" s="20">
        <v>5669.4</v>
      </c>
      <c r="F64" s="20">
        <v>1514.8</v>
      </c>
      <c r="G64" s="18">
        <v>0</v>
      </c>
      <c r="H64" s="19">
        <v>16305.949999999999</v>
      </c>
      <c r="I64" s="19">
        <f>20</f>
        <v>20</v>
      </c>
    </row>
    <row r="65" spans="1:9" x14ac:dyDescent="0.25">
      <c r="A65" s="22"/>
      <c r="B65" s="21" t="s">
        <v>68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</row>
    <row r="66" spans="1:9" x14ac:dyDescent="0.25">
      <c r="A66" s="22"/>
      <c r="B66" s="21" t="s">
        <v>67</v>
      </c>
      <c r="C66" s="20">
        <v>5016.16</v>
      </c>
      <c r="D66" s="18">
        <v>0</v>
      </c>
      <c r="E66" s="20">
        <v>3307.07</v>
      </c>
      <c r="F66" s="20">
        <v>6137.85</v>
      </c>
      <c r="G66" s="18">
        <v>0</v>
      </c>
      <c r="H66" s="19">
        <v>14461.08</v>
      </c>
      <c r="I66" s="18">
        <v>0</v>
      </c>
    </row>
    <row r="67" spans="1:9" x14ac:dyDescent="0.25">
      <c r="A67" s="22"/>
      <c r="B67" s="21" t="s">
        <v>66</v>
      </c>
      <c r="C67" s="20">
        <v>2615.89</v>
      </c>
      <c r="D67" s="20">
        <v>2033.63</v>
      </c>
      <c r="E67" s="20">
        <v>7555.21</v>
      </c>
      <c r="F67" s="20">
        <v>2567.41</v>
      </c>
      <c r="G67" s="18">
        <v>0</v>
      </c>
      <c r="H67" s="19">
        <v>14772.14</v>
      </c>
      <c r="I67" s="18">
        <v>0</v>
      </c>
    </row>
    <row r="68" spans="1:9" x14ac:dyDescent="0.25">
      <c r="A68" s="22"/>
      <c r="B68" s="21" t="s">
        <v>65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</row>
    <row r="69" spans="1:9" x14ac:dyDescent="0.25">
      <c r="A69" s="22"/>
      <c r="B69" s="21" t="s">
        <v>64</v>
      </c>
      <c r="C69" s="20">
        <v>8323.2800000000007</v>
      </c>
      <c r="D69" s="20">
        <v>696.26</v>
      </c>
      <c r="E69" s="20">
        <v>8634.92</v>
      </c>
      <c r="F69" s="20">
        <v>1105.8399999999999</v>
      </c>
      <c r="G69" s="18">
        <v>0</v>
      </c>
      <c r="H69" s="19">
        <v>18760.3</v>
      </c>
      <c r="I69" s="18">
        <v>0</v>
      </c>
    </row>
    <row r="70" spans="1:9" x14ac:dyDescent="0.25">
      <c r="A70" s="22"/>
      <c r="B70" s="21" t="s">
        <v>63</v>
      </c>
      <c r="C70" s="20">
        <v>2259.0700000000002</v>
      </c>
      <c r="D70" s="20">
        <v>1311.13</v>
      </c>
      <c r="E70" s="20">
        <v>5485.47</v>
      </c>
      <c r="F70" s="20">
        <v>3578.5</v>
      </c>
      <c r="G70" s="18">
        <v>0</v>
      </c>
      <c r="H70" s="19">
        <v>12634.17</v>
      </c>
      <c r="I70" s="19">
        <f>3649.52</f>
        <v>3649.52</v>
      </c>
    </row>
    <row r="71" spans="1:9" x14ac:dyDescent="0.25">
      <c r="A71" s="22"/>
      <c r="B71" s="21" t="s">
        <v>62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</row>
    <row r="72" spans="1:9" x14ac:dyDescent="0.25">
      <c r="A72" s="22"/>
      <c r="B72" s="21" t="s">
        <v>61</v>
      </c>
      <c r="C72" s="20">
        <v>12082.21</v>
      </c>
      <c r="D72" s="18">
        <v>0</v>
      </c>
      <c r="E72" s="20">
        <v>2359.04</v>
      </c>
      <c r="F72" s="18">
        <v>0</v>
      </c>
      <c r="G72" s="20">
        <v>1384.91</v>
      </c>
      <c r="H72" s="19">
        <v>15826.16</v>
      </c>
      <c r="I72" s="19">
        <f>6391.96+1109.18</f>
        <v>7501.14</v>
      </c>
    </row>
    <row r="73" spans="1:9" x14ac:dyDescent="0.25">
      <c r="A73" s="22"/>
      <c r="B73" s="21" t="s">
        <v>60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</row>
    <row r="74" spans="1:9" x14ac:dyDescent="0.25">
      <c r="A74" s="22"/>
      <c r="B74" s="21" t="s">
        <v>59</v>
      </c>
      <c r="C74" s="20">
        <v>8323.2800000000007</v>
      </c>
      <c r="D74" s="20">
        <v>452.17</v>
      </c>
      <c r="E74" s="20">
        <v>4887.6899999999996</v>
      </c>
      <c r="F74" s="20">
        <v>2358.56</v>
      </c>
      <c r="G74" s="18">
        <v>0</v>
      </c>
      <c r="H74" s="19">
        <v>16021.699999999999</v>
      </c>
      <c r="I74" s="19">
        <f>1813.89</f>
        <v>1813.89</v>
      </c>
    </row>
    <row r="75" spans="1:9" x14ac:dyDescent="0.25">
      <c r="A75" s="22"/>
      <c r="B75" s="21" t="s">
        <v>58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</row>
    <row r="76" spans="1:9" x14ac:dyDescent="0.25">
      <c r="A76" s="22"/>
      <c r="B76" s="21" t="s">
        <v>57</v>
      </c>
      <c r="C76" s="18">
        <v>0</v>
      </c>
      <c r="D76" s="18">
        <v>0</v>
      </c>
      <c r="E76" s="20">
        <v>4669.3900000000003</v>
      </c>
      <c r="F76" s="18">
        <v>0</v>
      </c>
      <c r="G76" s="18">
        <v>0</v>
      </c>
      <c r="H76" s="19">
        <v>4669.3900000000003</v>
      </c>
      <c r="I76" s="18">
        <v>0</v>
      </c>
    </row>
    <row r="77" spans="1:9" x14ac:dyDescent="0.25">
      <c r="A77" s="22"/>
      <c r="B77" s="21" t="s">
        <v>56</v>
      </c>
      <c r="C77" s="20">
        <v>2411.9</v>
      </c>
      <c r="D77" s="20">
        <v>844.66</v>
      </c>
      <c r="E77" s="20">
        <v>6732.39</v>
      </c>
      <c r="F77" s="20">
        <v>532.99</v>
      </c>
      <c r="G77" s="18">
        <v>0</v>
      </c>
      <c r="H77" s="19">
        <v>10521.94</v>
      </c>
      <c r="I77" s="18">
        <v>0</v>
      </c>
    </row>
    <row r="78" spans="1:9" x14ac:dyDescent="0.25">
      <c r="A78" s="22"/>
      <c r="B78" s="21" t="s">
        <v>55</v>
      </c>
      <c r="C78" s="20">
        <v>8323.2800000000007</v>
      </c>
      <c r="D78" s="20">
        <v>1056.01</v>
      </c>
      <c r="E78" s="20">
        <v>6593.56</v>
      </c>
      <c r="F78" s="20">
        <v>2562.81</v>
      </c>
      <c r="G78" s="18">
        <v>0</v>
      </c>
      <c r="H78" s="19">
        <v>18535.660000000003</v>
      </c>
      <c r="I78" s="18">
        <v>0</v>
      </c>
    </row>
    <row r="79" spans="1:9" x14ac:dyDescent="0.25">
      <c r="A79" s="22"/>
      <c r="B79" s="21" t="s">
        <v>54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</row>
    <row r="80" spans="1:9" x14ac:dyDescent="0.25">
      <c r="A80" s="22"/>
      <c r="B80" s="21" t="s">
        <v>53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</row>
    <row r="81" spans="1:9" x14ac:dyDescent="0.25">
      <c r="A81" s="22"/>
      <c r="B81" s="21" t="s">
        <v>52</v>
      </c>
      <c r="C81" s="20">
        <v>4501.37</v>
      </c>
      <c r="D81" s="18">
        <v>0</v>
      </c>
      <c r="E81" s="20">
        <v>3284.26</v>
      </c>
      <c r="F81" s="20">
        <v>127.57</v>
      </c>
      <c r="G81" s="18">
        <v>0</v>
      </c>
      <c r="H81" s="19">
        <v>7913.2</v>
      </c>
      <c r="I81" s="18">
        <v>0</v>
      </c>
    </row>
    <row r="82" spans="1:9" x14ac:dyDescent="0.25">
      <c r="A82" s="22"/>
      <c r="B82" s="21" t="s">
        <v>51</v>
      </c>
      <c r="C82" s="20">
        <v>8323.2800000000007</v>
      </c>
      <c r="D82" s="20">
        <v>2241.11</v>
      </c>
      <c r="E82" s="20">
        <v>8347.24</v>
      </c>
      <c r="F82" s="20">
        <v>2864.82</v>
      </c>
      <c r="G82" s="18">
        <v>0</v>
      </c>
      <c r="H82" s="19">
        <v>21776.45</v>
      </c>
      <c r="I82" s="18">
        <v>0</v>
      </c>
    </row>
    <row r="83" spans="1:9" x14ac:dyDescent="0.25">
      <c r="A83" s="22"/>
      <c r="B83" s="21" t="s">
        <v>50</v>
      </c>
      <c r="C83" s="18">
        <v>0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</row>
    <row r="84" spans="1:9" x14ac:dyDescent="0.25">
      <c r="A84" s="22"/>
      <c r="B84" s="21" t="s">
        <v>49</v>
      </c>
      <c r="C84" s="20">
        <v>8323.2800000000007</v>
      </c>
      <c r="D84" s="20">
        <v>704</v>
      </c>
      <c r="E84" s="20">
        <v>5635.3</v>
      </c>
      <c r="F84" s="20">
        <v>3770.18</v>
      </c>
      <c r="G84" s="18">
        <v>0</v>
      </c>
      <c r="H84" s="19">
        <v>18432.760000000002</v>
      </c>
      <c r="I84" s="19">
        <f>18811.19</f>
        <v>18811.189999999999</v>
      </c>
    </row>
    <row r="85" spans="1:9" x14ac:dyDescent="0.25">
      <c r="A85" s="22"/>
      <c r="B85" s="21" t="s">
        <v>48</v>
      </c>
      <c r="C85" s="20">
        <v>8323.2800000000007</v>
      </c>
      <c r="D85" s="20">
        <v>330.44</v>
      </c>
      <c r="E85" s="20">
        <v>4856.5200000000004</v>
      </c>
      <c r="F85" s="20">
        <v>1364.03</v>
      </c>
      <c r="G85" s="18">
        <v>0</v>
      </c>
      <c r="H85" s="19">
        <v>14874.270000000002</v>
      </c>
      <c r="I85" s="18">
        <v>0</v>
      </c>
    </row>
    <row r="86" spans="1:9" x14ac:dyDescent="0.25">
      <c r="A86" s="22"/>
      <c r="B86" s="21" t="s">
        <v>47</v>
      </c>
      <c r="C86" s="20">
        <v>3736.98</v>
      </c>
      <c r="D86" s="20">
        <v>679.66</v>
      </c>
      <c r="E86" s="20">
        <v>3031.29</v>
      </c>
      <c r="F86" s="20">
        <v>2171.12</v>
      </c>
      <c r="G86" s="18">
        <v>0</v>
      </c>
      <c r="H86" s="19">
        <v>9619.0499999999993</v>
      </c>
      <c r="I86" s="18">
        <v>0</v>
      </c>
    </row>
    <row r="87" spans="1:9" x14ac:dyDescent="0.25">
      <c r="A87" s="22"/>
      <c r="B87" s="21" t="s">
        <v>46</v>
      </c>
      <c r="C87" s="20">
        <v>8323.2800000000007</v>
      </c>
      <c r="D87" s="20">
        <v>516.65</v>
      </c>
      <c r="E87" s="20">
        <v>5354.18</v>
      </c>
      <c r="F87" s="20">
        <v>2582.04</v>
      </c>
      <c r="G87" s="18">
        <v>0</v>
      </c>
      <c r="H87" s="19">
        <v>16776.150000000001</v>
      </c>
      <c r="I87" s="18">
        <v>0</v>
      </c>
    </row>
    <row r="88" spans="1:9" x14ac:dyDescent="0.25">
      <c r="A88" s="22"/>
      <c r="B88" s="21" t="s">
        <v>45</v>
      </c>
      <c r="C88" s="20">
        <v>8323.2800000000007</v>
      </c>
      <c r="D88" s="20">
        <v>1006.09</v>
      </c>
      <c r="E88" s="20">
        <v>10276.129999999999</v>
      </c>
      <c r="F88" s="20">
        <v>2857.68</v>
      </c>
      <c r="G88" s="18">
        <v>0</v>
      </c>
      <c r="H88" s="19">
        <v>22463.18</v>
      </c>
      <c r="I88" s="18">
        <v>0</v>
      </c>
    </row>
    <row r="89" spans="1:9" x14ac:dyDescent="0.25">
      <c r="A89" s="22"/>
      <c r="B89" s="21" t="s">
        <v>44</v>
      </c>
      <c r="C89" s="20">
        <v>4501.37</v>
      </c>
      <c r="D89" s="18">
        <v>0</v>
      </c>
      <c r="E89" s="20">
        <v>4039.36</v>
      </c>
      <c r="F89" s="20">
        <v>236.71</v>
      </c>
      <c r="G89" s="18">
        <v>0</v>
      </c>
      <c r="H89" s="19">
        <v>8777.4399999999987</v>
      </c>
      <c r="I89" s="18">
        <v>0</v>
      </c>
    </row>
    <row r="90" spans="1:9" x14ac:dyDescent="0.25">
      <c r="A90" s="22"/>
      <c r="B90" s="21" t="s">
        <v>43</v>
      </c>
      <c r="C90" s="18">
        <v>0</v>
      </c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</row>
    <row r="91" spans="1:9" ht="15.75" thickBot="1" x14ac:dyDescent="0.3">
      <c r="A91" s="22"/>
      <c r="B91" s="21" t="s">
        <v>42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</row>
    <row r="92" spans="1:9" ht="15.75" thickBot="1" x14ac:dyDescent="0.3">
      <c r="A92" s="11" t="s">
        <v>41</v>
      </c>
      <c r="B92" s="26"/>
      <c r="C92" s="9">
        <v>247280.52</v>
      </c>
      <c r="D92" s="9">
        <v>30939.050000000003</v>
      </c>
      <c r="E92" s="9">
        <v>242629.37000000002</v>
      </c>
      <c r="F92" s="9">
        <v>93209.599999999991</v>
      </c>
      <c r="G92" s="9">
        <v>1384.91</v>
      </c>
      <c r="H92" s="8">
        <v>615443.45000000007</v>
      </c>
      <c r="I92" s="29">
        <f>SUM(I29:I91)</f>
        <v>53121.680000000008</v>
      </c>
    </row>
    <row r="93" spans="1:9" x14ac:dyDescent="0.25">
      <c r="A93" s="28" t="s">
        <v>145</v>
      </c>
      <c r="B93" s="21" t="s">
        <v>40</v>
      </c>
      <c r="C93" s="18">
        <v>0</v>
      </c>
      <c r="D93" s="18">
        <v>0</v>
      </c>
      <c r="E93" s="20">
        <v>12710.96</v>
      </c>
      <c r="F93" s="20">
        <v>3706.74</v>
      </c>
      <c r="G93" s="18">
        <v>0</v>
      </c>
      <c r="H93" s="19">
        <v>16417.699999999997</v>
      </c>
      <c r="I93" s="18">
        <v>0</v>
      </c>
    </row>
    <row r="94" spans="1:9" ht="15.75" thickBot="1" x14ac:dyDescent="0.3">
      <c r="A94" s="27"/>
      <c r="B94" s="21" t="s">
        <v>39</v>
      </c>
      <c r="C94" s="20">
        <v>8323.2800000000007</v>
      </c>
      <c r="D94" s="20">
        <v>1615.03</v>
      </c>
      <c r="E94" s="20">
        <v>5629.74</v>
      </c>
      <c r="F94" s="20">
        <v>1213</v>
      </c>
      <c r="G94" s="18">
        <v>0</v>
      </c>
      <c r="H94" s="19">
        <v>16781.050000000003</v>
      </c>
      <c r="I94" s="18">
        <v>0</v>
      </c>
    </row>
    <row r="95" spans="1:9" ht="15.75" thickBot="1" x14ac:dyDescent="0.3">
      <c r="A95" s="11" t="s">
        <v>146</v>
      </c>
      <c r="B95" s="26"/>
      <c r="C95" s="9">
        <v>8323.2800000000007</v>
      </c>
      <c r="D95" s="9">
        <v>1615.03</v>
      </c>
      <c r="E95" s="9">
        <v>18340.699999999997</v>
      </c>
      <c r="F95" s="9">
        <v>4919.74</v>
      </c>
      <c r="G95" s="25">
        <v>0</v>
      </c>
      <c r="H95" s="8">
        <v>33198.75</v>
      </c>
      <c r="I95" s="25">
        <v>0</v>
      </c>
    </row>
    <row r="96" spans="1:9" x14ac:dyDescent="0.25">
      <c r="A96" s="24" t="s">
        <v>38</v>
      </c>
      <c r="B96" s="21" t="s">
        <v>37</v>
      </c>
      <c r="C96" s="20">
        <v>8323.2800000000007</v>
      </c>
      <c r="D96" s="18">
        <v>0</v>
      </c>
      <c r="E96" s="20">
        <v>5001.59</v>
      </c>
      <c r="F96" s="20">
        <v>2591</v>
      </c>
      <c r="G96" s="18">
        <v>0</v>
      </c>
      <c r="H96" s="19">
        <v>15915.87</v>
      </c>
      <c r="I96" s="18">
        <v>0</v>
      </c>
    </row>
    <row r="97" spans="1:9" x14ac:dyDescent="0.25">
      <c r="A97" s="22"/>
      <c r="B97" s="21" t="s">
        <v>36</v>
      </c>
      <c r="C97" s="20">
        <v>423.97</v>
      </c>
      <c r="D97" s="20">
        <v>188.04</v>
      </c>
      <c r="E97" s="20">
        <v>2223.7600000000002</v>
      </c>
      <c r="F97" s="20">
        <v>440.2</v>
      </c>
      <c r="G97" s="18">
        <v>0</v>
      </c>
      <c r="H97" s="19">
        <v>3275.9700000000003</v>
      </c>
      <c r="I97" s="18">
        <v>0</v>
      </c>
    </row>
    <row r="98" spans="1:9" x14ac:dyDescent="0.25">
      <c r="A98" s="22"/>
      <c r="B98" s="21" t="s">
        <v>35</v>
      </c>
      <c r="C98" s="18">
        <v>0</v>
      </c>
      <c r="D98" s="20">
        <v>1026.53</v>
      </c>
      <c r="E98" s="20">
        <v>13348.07</v>
      </c>
      <c r="F98" s="20">
        <v>5051.2</v>
      </c>
      <c r="G98" s="18">
        <v>0</v>
      </c>
      <c r="H98" s="19">
        <v>19425.8</v>
      </c>
      <c r="I98" s="18">
        <v>0</v>
      </c>
    </row>
    <row r="99" spans="1:9" x14ac:dyDescent="0.25">
      <c r="A99" s="22"/>
      <c r="B99" s="21" t="s">
        <v>34</v>
      </c>
      <c r="C99" s="20">
        <v>8323.2800000000007</v>
      </c>
      <c r="D99" s="20">
        <v>178.26</v>
      </c>
      <c r="E99" s="20">
        <v>2984.47</v>
      </c>
      <c r="F99" s="20">
        <v>5761.21</v>
      </c>
      <c r="G99" s="18">
        <v>0</v>
      </c>
      <c r="H99" s="19">
        <v>17247.22</v>
      </c>
      <c r="I99" s="18">
        <v>0</v>
      </c>
    </row>
    <row r="100" spans="1:9" x14ac:dyDescent="0.25">
      <c r="A100" s="22"/>
      <c r="B100" s="21" t="s">
        <v>33</v>
      </c>
      <c r="C100" s="20">
        <v>8323.2800000000007</v>
      </c>
      <c r="D100" s="20">
        <v>869.83</v>
      </c>
      <c r="E100" s="20">
        <v>9575.93</v>
      </c>
      <c r="F100" s="20">
        <v>10481.94</v>
      </c>
      <c r="G100" s="18">
        <v>0</v>
      </c>
      <c r="H100" s="19">
        <v>29250.980000000003</v>
      </c>
      <c r="I100" s="19">
        <f>3649.52</f>
        <v>3649.52</v>
      </c>
    </row>
    <row r="101" spans="1:9" x14ac:dyDescent="0.25">
      <c r="A101" s="22"/>
      <c r="B101" s="21" t="s">
        <v>32</v>
      </c>
      <c r="C101" s="20">
        <v>8323.2800000000007</v>
      </c>
      <c r="D101" s="20">
        <v>458.96</v>
      </c>
      <c r="E101" s="20">
        <v>7208.52</v>
      </c>
      <c r="F101" s="20">
        <v>13719.54</v>
      </c>
      <c r="G101" s="18">
        <v>0</v>
      </c>
      <c r="H101" s="19">
        <v>29710.300000000003</v>
      </c>
      <c r="I101" s="18">
        <v>0</v>
      </c>
    </row>
    <row r="102" spans="1:9" x14ac:dyDescent="0.25">
      <c r="A102" s="22"/>
      <c r="B102" s="21" t="s">
        <v>31</v>
      </c>
      <c r="C102" s="20">
        <v>8323.2800000000007</v>
      </c>
      <c r="D102" s="20">
        <v>426.09</v>
      </c>
      <c r="E102" s="20">
        <v>7081.45</v>
      </c>
      <c r="F102" s="20">
        <v>31.35</v>
      </c>
      <c r="G102" s="18">
        <v>0</v>
      </c>
      <c r="H102" s="19">
        <v>15862.17</v>
      </c>
      <c r="I102" s="18">
        <v>0</v>
      </c>
    </row>
    <row r="103" spans="1:9" x14ac:dyDescent="0.25">
      <c r="A103" s="22"/>
      <c r="B103" s="21" t="s">
        <v>30</v>
      </c>
      <c r="C103" s="20">
        <v>8323.2800000000007</v>
      </c>
      <c r="D103" s="20">
        <v>848</v>
      </c>
      <c r="E103" s="20">
        <v>18388.919999999998</v>
      </c>
      <c r="F103" s="20">
        <v>2710.79</v>
      </c>
      <c r="G103" s="18">
        <v>0</v>
      </c>
      <c r="H103" s="19">
        <v>30270.989999999998</v>
      </c>
      <c r="I103" s="18">
        <v>0</v>
      </c>
    </row>
    <row r="104" spans="1:9" x14ac:dyDescent="0.25">
      <c r="A104" s="22"/>
      <c r="B104" s="21" t="s">
        <v>29</v>
      </c>
      <c r="C104" s="20">
        <v>8323.2800000000007</v>
      </c>
      <c r="D104" s="20">
        <v>195.8</v>
      </c>
      <c r="E104" s="20">
        <v>5316.68</v>
      </c>
      <c r="F104" s="20">
        <v>1174.43</v>
      </c>
      <c r="G104" s="18">
        <v>0</v>
      </c>
      <c r="H104" s="19">
        <v>15010.19</v>
      </c>
      <c r="I104" s="18">
        <v>0</v>
      </c>
    </row>
    <row r="105" spans="1:9" x14ac:dyDescent="0.25">
      <c r="A105" s="22"/>
      <c r="B105" s="21" t="s">
        <v>28</v>
      </c>
      <c r="C105" s="20">
        <v>424.85</v>
      </c>
      <c r="D105" s="20">
        <v>446.52</v>
      </c>
      <c r="E105" s="20">
        <v>6065.2</v>
      </c>
      <c r="F105" s="20">
        <v>2792.53</v>
      </c>
      <c r="G105" s="18">
        <v>0</v>
      </c>
      <c r="H105" s="19">
        <v>9729.1</v>
      </c>
      <c r="I105" s="19">
        <f>20</f>
        <v>20</v>
      </c>
    </row>
    <row r="106" spans="1:9" x14ac:dyDescent="0.25">
      <c r="A106" s="22"/>
      <c r="B106" s="21" t="s">
        <v>27</v>
      </c>
      <c r="C106" s="20">
        <v>8323.2800000000007</v>
      </c>
      <c r="D106" s="20">
        <v>3034.01</v>
      </c>
      <c r="E106" s="20">
        <v>4196.8599999999997</v>
      </c>
      <c r="F106" s="20">
        <v>3025.43</v>
      </c>
      <c r="G106" s="18">
        <v>0</v>
      </c>
      <c r="H106" s="19">
        <v>18579.580000000002</v>
      </c>
      <c r="I106" s="18">
        <v>0</v>
      </c>
    </row>
    <row r="107" spans="1:9" x14ac:dyDescent="0.25">
      <c r="A107" s="22"/>
      <c r="B107" s="21" t="s">
        <v>26</v>
      </c>
      <c r="C107" s="20">
        <v>8323.2800000000007</v>
      </c>
      <c r="D107" s="20">
        <v>663.63</v>
      </c>
      <c r="E107" s="20">
        <v>3594.91</v>
      </c>
      <c r="F107" s="20">
        <v>4790.41</v>
      </c>
      <c r="G107" s="18">
        <v>0</v>
      </c>
      <c r="H107" s="19">
        <v>17372.23</v>
      </c>
      <c r="I107" s="18">
        <v>0</v>
      </c>
    </row>
    <row r="108" spans="1:9" x14ac:dyDescent="0.25">
      <c r="A108" s="22"/>
      <c r="B108" s="21" t="s">
        <v>25</v>
      </c>
      <c r="C108" s="20">
        <v>8323.2800000000007</v>
      </c>
      <c r="D108" s="18">
        <v>0</v>
      </c>
      <c r="E108" s="20">
        <v>3697.71</v>
      </c>
      <c r="F108" s="20">
        <v>2910.37</v>
      </c>
      <c r="G108" s="18">
        <v>0</v>
      </c>
      <c r="H108" s="19">
        <v>14931.36</v>
      </c>
      <c r="I108" s="18">
        <v>0</v>
      </c>
    </row>
    <row r="109" spans="1:9" x14ac:dyDescent="0.25">
      <c r="A109" s="22"/>
      <c r="B109" s="21" t="s">
        <v>24</v>
      </c>
      <c r="C109" s="20">
        <v>8323.2800000000007</v>
      </c>
      <c r="D109" s="20">
        <v>1497.1100000000001</v>
      </c>
      <c r="E109" s="20">
        <v>10998.96</v>
      </c>
      <c r="F109" s="20">
        <v>409.25</v>
      </c>
      <c r="G109" s="20">
        <v>18516.919999999998</v>
      </c>
      <c r="H109" s="19">
        <v>39745.519999999997</v>
      </c>
      <c r="I109" s="18">
        <v>0</v>
      </c>
    </row>
    <row r="110" spans="1:9" x14ac:dyDescent="0.25">
      <c r="A110" s="22"/>
      <c r="B110" s="21" t="s">
        <v>23</v>
      </c>
      <c r="C110" s="20">
        <v>8323.2800000000007</v>
      </c>
      <c r="D110" s="20">
        <v>652.17999999999995</v>
      </c>
      <c r="E110" s="20">
        <v>8766.09</v>
      </c>
      <c r="F110" s="20">
        <v>513.66</v>
      </c>
      <c r="G110" s="18">
        <v>0</v>
      </c>
      <c r="H110" s="19">
        <v>18255.210000000003</v>
      </c>
      <c r="I110" s="18">
        <v>0</v>
      </c>
    </row>
    <row r="111" spans="1:9" x14ac:dyDescent="0.25">
      <c r="A111" s="22"/>
      <c r="B111" s="21" t="s">
        <v>22</v>
      </c>
      <c r="C111" s="20">
        <v>8323.2800000000007</v>
      </c>
      <c r="D111" s="20">
        <v>1017.4</v>
      </c>
      <c r="E111" s="20">
        <v>4485.21</v>
      </c>
      <c r="F111" s="20">
        <v>4168.5</v>
      </c>
      <c r="G111" s="18">
        <v>0</v>
      </c>
      <c r="H111" s="19">
        <v>17994.39</v>
      </c>
      <c r="I111" s="19">
        <f>34+1109.18</f>
        <v>1143.18</v>
      </c>
    </row>
    <row r="112" spans="1:9" x14ac:dyDescent="0.25">
      <c r="A112" s="22"/>
      <c r="B112" s="21" t="s">
        <v>21</v>
      </c>
      <c r="C112" s="20">
        <v>8323.2800000000007</v>
      </c>
      <c r="D112" s="20">
        <v>426.09</v>
      </c>
      <c r="E112" s="20">
        <v>4261.62</v>
      </c>
      <c r="F112" s="20">
        <v>3354.4</v>
      </c>
      <c r="G112" s="18">
        <v>0</v>
      </c>
      <c r="H112" s="19">
        <v>16365.390000000001</v>
      </c>
      <c r="I112" s="18">
        <v>0</v>
      </c>
    </row>
    <row r="113" spans="1:9" x14ac:dyDescent="0.25">
      <c r="A113" s="22"/>
      <c r="B113" s="21" t="s">
        <v>20</v>
      </c>
      <c r="C113" s="20">
        <v>5138</v>
      </c>
      <c r="D113" s="20">
        <v>1543.44</v>
      </c>
      <c r="E113" s="20">
        <v>12297.09</v>
      </c>
      <c r="F113" s="20">
        <v>3725.34</v>
      </c>
      <c r="G113" s="18">
        <v>0</v>
      </c>
      <c r="H113" s="19">
        <v>22703.87</v>
      </c>
      <c r="I113" s="18">
        <v>0</v>
      </c>
    </row>
    <row r="114" spans="1:9" x14ac:dyDescent="0.25">
      <c r="A114" s="22"/>
      <c r="B114" s="21" t="s">
        <v>19</v>
      </c>
      <c r="C114" s="18">
        <v>0</v>
      </c>
      <c r="D114" s="20">
        <v>260.87</v>
      </c>
      <c r="E114" s="20">
        <v>12832.84</v>
      </c>
      <c r="F114" s="18">
        <v>0</v>
      </c>
      <c r="G114" s="18">
        <v>0</v>
      </c>
      <c r="H114" s="19">
        <v>13093.710000000001</v>
      </c>
      <c r="I114" s="18">
        <v>0</v>
      </c>
    </row>
    <row r="115" spans="1:9" x14ac:dyDescent="0.25">
      <c r="A115" s="22"/>
      <c r="B115" s="21" t="s">
        <v>18</v>
      </c>
      <c r="C115" s="20">
        <v>8323.2800000000007</v>
      </c>
      <c r="D115" s="18">
        <v>0</v>
      </c>
      <c r="E115" s="20">
        <v>8444.74</v>
      </c>
      <c r="F115" s="20">
        <v>5355.48</v>
      </c>
      <c r="G115" s="18">
        <v>0</v>
      </c>
      <c r="H115" s="19">
        <v>22123.5</v>
      </c>
      <c r="I115" s="23">
        <f>19156.01</f>
        <v>19156.009999999998</v>
      </c>
    </row>
    <row r="116" spans="1:9" x14ac:dyDescent="0.25">
      <c r="A116" s="22"/>
      <c r="B116" s="21" t="s">
        <v>17</v>
      </c>
      <c r="C116" s="20">
        <v>8323.2800000000007</v>
      </c>
      <c r="D116" s="18">
        <v>0</v>
      </c>
      <c r="E116" s="20">
        <v>4761.13</v>
      </c>
      <c r="F116" s="20">
        <v>2374.67</v>
      </c>
      <c r="G116" s="18">
        <v>0</v>
      </c>
      <c r="H116" s="19">
        <v>15459.08</v>
      </c>
      <c r="I116" s="18">
        <v>0</v>
      </c>
    </row>
    <row r="117" spans="1:9" x14ac:dyDescent="0.25">
      <c r="A117" s="22"/>
      <c r="B117" s="21" t="s">
        <v>16</v>
      </c>
      <c r="C117" s="18">
        <v>0</v>
      </c>
      <c r="D117" s="20">
        <v>132.16</v>
      </c>
      <c r="E117" s="20">
        <v>15927.3</v>
      </c>
      <c r="F117" s="20">
        <v>6656.52</v>
      </c>
      <c r="G117" s="18">
        <v>0</v>
      </c>
      <c r="H117" s="19">
        <v>22715.98</v>
      </c>
      <c r="I117" s="18">
        <v>0</v>
      </c>
    </row>
    <row r="118" spans="1:9" x14ac:dyDescent="0.25">
      <c r="A118" s="22"/>
      <c r="B118" s="21" t="s">
        <v>15</v>
      </c>
      <c r="C118" s="20">
        <v>8323.2800000000007</v>
      </c>
      <c r="D118" s="20">
        <v>2338.7199999999998</v>
      </c>
      <c r="E118" s="20">
        <v>4429.87</v>
      </c>
      <c r="F118" s="20">
        <v>1924.29</v>
      </c>
      <c r="G118" s="18">
        <v>0</v>
      </c>
      <c r="H118" s="19">
        <v>17016.16</v>
      </c>
      <c r="I118" s="18">
        <v>0</v>
      </c>
    </row>
    <row r="119" spans="1:9" x14ac:dyDescent="0.25">
      <c r="A119" s="22"/>
      <c r="B119" s="21" t="s">
        <v>14</v>
      </c>
      <c r="C119" s="20">
        <v>8323.2800000000007</v>
      </c>
      <c r="D119" s="20">
        <v>398.07</v>
      </c>
      <c r="E119" s="20">
        <v>11193.21</v>
      </c>
      <c r="F119" s="20">
        <v>3453.78</v>
      </c>
      <c r="G119" s="18">
        <v>0</v>
      </c>
      <c r="H119" s="19">
        <v>23368.339999999997</v>
      </c>
      <c r="I119" s="18">
        <v>0</v>
      </c>
    </row>
    <row r="120" spans="1:9" x14ac:dyDescent="0.25">
      <c r="A120" s="22"/>
      <c r="B120" s="21" t="s">
        <v>13</v>
      </c>
      <c r="C120" s="20">
        <v>423.97</v>
      </c>
      <c r="D120" s="18">
        <v>0</v>
      </c>
      <c r="E120" s="20">
        <v>9873.02</v>
      </c>
      <c r="F120" s="20">
        <v>915.01</v>
      </c>
      <c r="G120" s="18">
        <v>0</v>
      </c>
      <c r="H120" s="19">
        <v>11212</v>
      </c>
      <c r="I120" s="19">
        <f>45</f>
        <v>45</v>
      </c>
    </row>
    <row r="121" spans="1:9" x14ac:dyDescent="0.25">
      <c r="A121" s="22"/>
      <c r="B121" s="21" t="s">
        <v>12</v>
      </c>
      <c r="C121" s="18">
        <v>0</v>
      </c>
      <c r="D121" s="20">
        <v>426.09</v>
      </c>
      <c r="E121" s="20">
        <v>4562.47</v>
      </c>
      <c r="F121" s="20">
        <v>345.45</v>
      </c>
      <c r="G121" s="18">
        <v>0</v>
      </c>
      <c r="H121" s="19">
        <v>5334.01</v>
      </c>
      <c r="I121" s="19">
        <f>18982.33</f>
        <v>18982.330000000002</v>
      </c>
    </row>
    <row r="122" spans="1:9" x14ac:dyDescent="0.25">
      <c r="A122" s="22"/>
      <c r="B122" s="21" t="s">
        <v>11</v>
      </c>
      <c r="C122" s="20">
        <v>8323.2800000000007</v>
      </c>
      <c r="D122" s="20">
        <v>1502.82</v>
      </c>
      <c r="E122" s="20">
        <v>12755.95</v>
      </c>
      <c r="F122" s="20">
        <v>2727.02</v>
      </c>
      <c r="G122" s="18">
        <v>0</v>
      </c>
      <c r="H122" s="19">
        <v>25309.070000000003</v>
      </c>
      <c r="I122" s="18">
        <v>0</v>
      </c>
    </row>
    <row r="123" spans="1:9" x14ac:dyDescent="0.25">
      <c r="A123" s="22"/>
      <c r="B123" s="21" t="s">
        <v>10</v>
      </c>
      <c r="C123" s="20">
        <v>8323.2800000000007</v>
      </c>
      <c r="D123" s="20">
        <v>426.09</v>
      </c>
      <c r="E123" s="20">
        <v>6597.76</v>
      </c>
      <c r="F123" s="20">
        <v>2753.18</v>
      </c>
      <c r="G123" s="18">
        <v>0</v>
      </c>
      <c r="H123" s="19">
        <v>18100.310000000001</v>
      </c>
      <c r="I123" s="18">
        <v>0</v>
      </c>
    </row>
    <row r="124" spans="1:9" x14ac:dyDescent="0.25">
      <c r="A124" s="22"/>
      <c r="B124" s="21" t="s">
        <v>9</v>
      </c>
      <c r="C124" s="20">
        <v>2467.2600000000002</v>
      </c>
      <c r="D124" s="20">
        <v>637.78</v>
      </c>
      <c r="E124" s="20">
        <v>6671.95</v>
      </c>
      <c r="F124" s="20">
        <v>1678.64</v>
      </c>
      <c r="G124" s="18">
        <v>0</v>
      </c>
      <c r="H124" s="19">
        <v>11455.63</v>
      </c>
      <c r="I124" s="18">
        <v>0</v>
      </c>
    </row>
    <row r="125" spans="1:9" x14ac:dyDescent="0.25">
      <c r="A125" s="22"/>
      <c r="B125" s="21" t="s">
        <v>8</v>
      </c>
      <c r="C125" s="20">
        <v>8323.2800000000007</v>
      </c>
      <c r="D125" s="20">
        <v>958.11</v>
      </c>
      <c r="E125" s="20">
        <v>9028.9500000000007</v>
      </c>
      <c r="F125" s="20">
        <v>4243.59</v>
      </c>
      <c r="G125" s="18">
        <v>0</v>
      </c>
      <c r="H125" s="19">
        <v>22553.930000000004</v>
      </c>
      <c r="I125" s="18">
        <v>0</v>
      </c>
    </row>
    <row r="126" spans="1:9" x14ac:dyDescent="0.25">
      <c r="A126" s="22"/>
      <c r="B126" s="21" t="s">
        <v>7</v>
      </c>
      <c r="C126" s="20">
        <v>8323.2800000000007</v>
      </c>
      <c r="D126" s="20">
        <v>8.6999999999999993</v>
      </c>
      <c r="E126" s="20">
        <v>3891.28</v>
      </c>
      <c r="F126" s="20">
        <v>3059.65</v>
      </c>
      <c r="G126" s="18">
        <v>0</v>
      </c>
      <c r="H126" s="19">
        <v>15282.910000000002</v>
      </c>
      <c r="I126" s="18">
        <v>0</v>
      </c>
    </row>
    <row r="127" spans="1:9" x14ac:dyDescent="0.25">
      <c r="A127" s="22"/>
      <c r="B127" s="21" t="s">
        <v>6</v>
      </c>
      <c r="C127" s="20">
        <v>1695.87</v>
      </c>
      <c r="D127" s="18">
        <v>0</v>
      </c>
      <c r="E127" s="20">
        <v>6617.69</v>
      </c>
      <c r="F127" s="20">
        <v>8214.35</v>
      </c>
      <c r="G127" s="18">
        <v>0</v>
      </c>
      <c r="H127" s="19">
        <v>16527.91</v>
      </c>
      <c r="I127" s="18">
        <v>0</v>
      </c>
    </row>
    <row r="128" spans="1:9" x14ac:dyDescent="0.25">
      <c r="A128" s="22"/>
      <c r="B128" s="21" t="s">
        <v>5</v>
      </c>
      <c r="C128" s="18">
        <v>0</v>
      </c>
      <c r="D128" s="20">
        <v>866.31</v>
      </c>
      <c r="E128" s="20">
        <v>10539.04</v>
      </c>
      <c r="F128" s="20">
        <v>2557.16</v>
      </c>
      <c r="G128" s="18">
        <v>0</v>
      </c>
      <c r="H128" s="19">
        <v>13962.51</v>
      </c>
      <c r="I128" s="18">
        <v>0</v>
      </c>
    </row>
    <row r="129" spans="1:9" ht="15.75" thickBot="1" x14ac:dyDescent="0.3">
      <c r="A129" s="22"/>
      <c r="B129" s="21" t="s">
        <v>4</v>
      </c>
      <c r="C129" s="20">
        <v>8323.2800000000007</v>
      </c>
      <c r="D129" s="20">
        <v>1536.22</v>
      </c>
      <c r="E129" s="20">
        <v>12763.95</v>
      </c>
      <c r="F129" s="20">
        <v>3038.71</v>
      </c>
      <c r="G129" s="18">
        <v>0</v>
      </c>
      <c r="H129" s="19">
        <v>25662.16</v>
      </c>
      <c r="I129" s="18">
        <v>0</v>
      </c>
    </row>
    <row r="130" spans="1:9" ht="15.75" thickBot="1" x14ac:dyDescent="0.3">
      <c r="A130" s="11" t="s">
        <v>3</v>
      </c>
      <c r="B130" s="10"/>
      <c r="C130" s="9">
        <v>202009.36</v>
      </c>
      <c r="D130" s="9">
        <v>22963.830000000005</v>
      </c>
      <c r="E130" s="9">
        <v>270384.19</v>
      </c>
      <c r="F130" s="9">
        <v>116949.04999999999</v>
      </c>
      <c r="G130" s="9">
        <v>18516.919999999998</v>
      </c>
      <c r="H130" s="8">
        <v>630823.35</v>
      </c>
      <c r="I130" s="8">
        <f>SUM(I96:I129)</f>
        <v>42996.04</v>
      </c>
    </row>
    <row r="131" spans="1:9" ht="15.75" thickBot="1" x14ac:dyDescent="0.3">
      <c r="A131" s="17"/>
      <c r="B131" s="16"/>
      <c r="C131" s="15"/>
      <c r="D131" s="15"/>
      <c r="E131" s="15"/>
      <c r="F131" s="15"/>
      <c r="G131" s="14"/>
      <c r="H131" s="13"/>
      <c r="I131" s="12"/>
    </row>
    <row r="132" spans="1:9" ht="15.75" thickBot="1" x14ac:dyDescent="0.3">
      <c r="A132" s="11" t="s">
        <v>2</v>
      </c>
      <c r="B132" s="10"/>
      <c r="C132" s="9">
        <v>558448.6</v>
      </c>
      <c r="D132" s="9">
        <v>67456.289999999994</v>
      </c>
      <c r="E132" s="9">
        <v>619720.83000000007</v>
      </c>
      <c r="F132" s="9">
        <v>245285.75999999998</v>
      </c>
      <c r="G132" s="9">
        <v>19901.829999999998</v>
      </c>
      <c r="H132" s="8">
        <v>1510813.3100000003</v>
      </c>
      <c r="I132" s="7">
        <f>I130+I95+I92++I28+I25+I15</f>
        <v>97226.9</v>
      </c>
    </row>
    <row r="133" spans="1:9" x14ac:dyDescent="0.25">
      <c r="A133" s="6"/>
      <c r="B133" s="6"/>
      <c r="C133" s="5"/>
      <c r="D133" s="5"/>
      <c r="E133" s="5"/>
      <c r="F133" s="5"/>
      <c r="G133" s="4"/>
      <c r="H133" s="5"/>
      <c r="I133" s="4"/>
    </row>
    <row r="134" spans="1:9" x14ac:dyDescent="0.25">
      <c r="A134" s="35" t="s">
        <v>1</v>
      </c>
      <c r="B134" s="35"/>
      <c r="C134" s="35"/>
      <c r="D134" s="35"/>
      <c r="E134" s="35"/>
      <c r="F134" s="35"/>
      <c r="G134" s="35"/>
      <c r="H134" s="35"/>
      <c r="I134" s="3"/>
    </row>
    <row r="135" spans="1:9" x14ac:dyDescent="0.25">
      <c r="A135" s="35" t="s">
        <v>0</v>
      </c>
      <c r="B135" s="35"/>
      <c r="C135" s="35"/>
      <c r="D135" s="35"/>
      <c r="E135" s="35"/>
      <c r="F135" s="35"/>
      <c r="G135" s="35"/>
      <c r="H135" s="35"/>
      <c r="I135" s="3"/>
    </row>
  </sheetData>
  <mergeCells count="9">
    <mergeCell ref="I3:I4"/>
    <mergeCell ref="A134:H134"/>
    <mergeCell ref="A135:H135"/>
    <mergeCell ref="A1:I2"/>
    <mergeCell ref="A3:A4"/>
    <mergeCell ref="B3:B4"/>
    <mergeCell ref="C3:D3"/>
    <mergeCell ref="E3:G3"/>
    <mergeCell ref="H3:H4"/>
  </mergeCells>
  <pageMargins left="0.70866141732283472" right="0.70866141732283472" top="0.74803149606299213" bottom="0.74803149606299213" header="0.31496062992125984" footer="0.31496062992125984"/>
  <pageSetup paperSize="9" scale="67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Yang</dc:creator>
  <cp:lastModifiedBy>Jade Yang</cp:lastModifiedBy>
  <cp:lastPrinted>2023-05-23T23:48:36Z</cp:lastPrinted>
  <dcterms:created xsi:type="dcterms:W3CDTF">2023-05-23T22:11:00Z</dcterms:created>
  <dcterms:modified xsi:type="dcterms:W3CDTF">2023-05-23T23:48:49Z</dcterms:modified>
</cp:coreProperties>
</file>