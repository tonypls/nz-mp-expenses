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beaufork\Desktop\"/>
    </mc:Choice>
  </mc:AlternateContent>
  <bookViews>
    <workbookView xWindow="0" yWindow="0" windowWidth="23040" windowHeight="9120"/>
  </bookViews>
  <sheets>
    <sheet name="All Parti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H143" i="1"/>
  <c r="H124" i="1"/>
</calcChain>
</file>

<file path=xl/sharedStrings.xml><?xml version="1.0" encoding="utf-8"?>
<sst xmlns="http://schemas.openxmlformats.org/spreadsheetml/2006/main" count="149" uniqueCount="149">
  <si>
    <t>Members Expense Disclosure - January to March 2017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</si>
  <si>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</si>
  <si>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</si>
  <si>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</si>
  <si>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</si>
  <si>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</si>
  <si>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</si>
  <si>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</si>
  <si>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</si>
  <si>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</si>
  <si>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</si>
  <si>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</si>
  <si>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</si>
  <si>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</si>
  <si>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</si>
  <si>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</si>
  <si>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</si>
  <si>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</si>
  <si>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</si>
  <si>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</si>
  <si>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</si>
  <si>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</si>
  <si>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</si>
  <si>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</si>
  <si>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Inter parliamentary - Office of the Clerk</t>
  </si>
  <si>
    <t>Seymour, David</t>
  </si>
  <si>
    <t>Coates, Barry</t>
  </si>
  <si>
    <t>Clendon, David</t>
  </si>
  <si>
    <t>Browning, Steffan</t>
  </si>
  <si>
    <t>Davidson, Marama</t>
  </si>
  <si>
    <t>Delahunty, Catherine</t>
  </si>
  <si>
    <t>Genter, Julie-Anne</t>
  </si>
  <si>
    <t>Graham, Kennedy</t>
  </si>
  <si>
    <t>Hague, Kevin</t>
  </si>
  <si>
    <t>Hughes, Gareth</t>
  </si>
  <si>
    <t>Logie, Jan</t>
  </si>
  <si>
    <t>Mathers, Mojo</t>
  </si>
  <si>
    <t>Roche, Denise</t>
  </si>
  <si>
    <t>Sage, Eugenie</t>
  </si>
  <si>
    <t>Shaw, James</t>
  </si>
  <si>
    <t>Turei, Metiria</t>
  </si>
  <si>
    <t>Ardern, Jacinda</t>
  </si>
  <si>
    <t>Clark, David</t>
  </si>
  <si>
    <t>Cosgrove, Clayton</t>
  </si>
  <si>
    <t>Cunliffe, David</t>
  </si>
  <si>
    <t>Curran, Clare</t>
  </si>
  <si>
    <t>Davis, Kelvin</t>
  </si>
  <si>
    <t>Dyson, Ruth</t>
  </si>
  <si>
    <t>Faafoi, Kris</t>
  </si>
  <si>
    <t>Henare, Peeni</t>
  </si>
  <si>
    <t>Hipkins, Chris</t>
  </si>
  <si>
    <t>Huo, Raymond</t>
  </si>
  <si>
    <t>King, Annette</t>
  </si>
  <si>
    <t>Lees-Galloway, Iain</t>
  </si>
  <si>
    <t>Little, Andrew</t>
  </si>
  <si>
    <t>Mahuta, Nanaia</t>
  </si>
  <si>
    <t>Mallard, Trevor</t>
  </si>
  <si>
    <t>Moroney, Sue</t>
  </si>
  <si>
    <t>Nash, Stuart</t>
  </si>
  <si>
    <t>O'Connor, Damien</t>
  </si>
  <si>
    <t>Parker, David</t>
  </si>
  <si>
    <t>Robertson, Grant</t>
  </si>
  <si>
    <t>Rurawhe, Adrian</t>
  </si>
  <si>
    <t>Sepuloni, Carmel</t>
  </si>
  <si>
    <t>Shearer, David</t>
  </si>
  <si>
    <t>Salesa, Jenny</t>
  </si>
  <si>
    <t>Sio Aupito, William</t>
  </si>
  <si>
    <t>Tirikatene, Rino</t>
  </si>
  <si>
    <t>Twyford, Phil</t>
  </si>
  <si>
    <t>Wall, Louisa</t>
  </si>
  <si>
    <t>Whaitiri, Meka</t>
  </si>
  <si>
    <t>Williams, Poto</t>
  </si>
  <si>
    <t>Wood, Michael</t>
  </si>
  <si>
    <t>Woods, Megan</t>
  </si>
  <si>
    <t>Flavell, Te Ururoa</t>
  </si>
  <si>
    <t>Fox, Marama</t>
  </si>
  <si>
    <t>Adams, Amy</t>
  </si>
  <si>
    <t>Bakshi, Kanwaljit Singh</t>
  </si>
  <si>
    <t>Barclay, Todd</t>
  </si>
  <si>
    <t>Barry, Maggie</t>
  </si>
  <si>
    <t>Bayly, Andrew</t>
  </si>
  <si>
    <t>Bennett, David</t>
  </si>
  <si>
    <t>Bennett, Paula</t>
  </si>
  <si>
    <t>Bishop, Chris</t>
  </si>
  <si>
    <t>Borrows, Chester</t>
  </si>
  <si>
    <t>Bridges, Simon</t>
  </si>
  <si>
    <t>Brownlee, Gerry</t>
  </si>
  <si>
    <t>Carter, David</t>
  </si>
  <si>
    <t>Coleman, Jonathan</t>
  </si>
  <si>
    <t>Collins, Judith</t>
  </si>
  <si>
    <t>Dean, Jacqui</t>
  </si>
  <si>
    <t>Doocey, Matt</t>
  </si>
  <si>
    <t>Dowie, Sarah</t>
  </si>
  <si>
    <t>English, Bill</t>
  </si>
  <si>
    <t>Finlayson, Chris</t>
  </si>
  <si>
    <t>Foss, Craig</t>
  </si>
  <si>
    <t>Foster-Bell, Paul</t>
  </si>
  <si>
    <t>Goldsmith, Paul</t>
  </si>
  <si>
    <t>Goodhew, Jo</t>
  </si>
  <si>
    <t>Guy, Nathan</t>
  </si>
  <si>
    <t>Hayes, Joanne</t>
  </si>
  <si>
    <t>Hudson, Brett</t>
  </si>
  <si>
    <t>Joyce, Steven</t>
  </si>
  <si>
    <t>Kaye, Nikki</t>
  </si>
  <si>
    <t>Key, John</t>
  </si>
  <si>
    <t>Korako, Nuk</t>
  </si>
  <si>
    <t>Kuriger, Barbara</t>
  </si>
  <si>
    <t>Lee, Melissa</t>
  </si>
  <si>
    <t>Macindoe, Tim</t>
  </si>
  <si>
    <t>Lotu-liga, Peseta Sam</t>
  </si>
  <si>
    <t>McClay, Todd</t>
  </si>
  <si>
    <t>McCully, Murray</t>
  </si>
  <si>
    <t>McKelvie, Ian</t>
  </si>
  <si>
    <t>Mitchell, Mark</t>
  </si>
  <si>
    <t>Muller, Todd</t>
  </si>
  <si>
    <t>Naylor, Jono</t>
  </si>
  <si>
    <t>Ngaro, Alfred</t>
  </si>
  <si>
    <t>O'Connor, Simon</t>
  </si>
  <si>
    <t>Parata, Hekia</t>
  </si>
  <si>
    <t>Parmar, Parmjeet</t>
  </si>
  <si>
    <t>Pugh, Maureen</t>
  </si>
  <si>
    <t>Reti, Shane</t>
  </si>
  <si>
    <t>Ross, Jami-Lee</t>
  </si>
  <si>
    <t>Scott, Alastair</t>
  </si>
  <si>
    <t>Smith, Stuart</t>
  </si>
  <si>
    <t>Smith, Nick</t>
  </si>
  <si>
    <t>Simpson, Scott</t>
  </si>
  <si>
    <t>Tisch, Lindsay</t>
  </si>
  <si>
    <t>Tolley, Anne</t>
  </si>
  <si>
    <t>Upston, Louise</t>
  </si>
  <si>
    <t>Wagner, Nicky</t>
  </si>
  <si>
    <t>Williamson, Maurice</t>
  </si>
  <si>
    <t>Woodhouse, Michael</t>
  </si>
  <si>
    <t>Yang, Jian</t>
  </si>
  <si>
    <t>Young, Jonathan</t>
  </si>
  <si>
    <t>Ball, Darroch</t>
  </si>
  <si>
    <t>Bindra, Mahesh</t>
  </si>
  <si>
    <t>Bond, Ria</t>
  </si>
  <si>
    <t>Mark, Ron</t>
  </si>
  <si>
    <t>Martin, Tracey</t>
  </si>
  <si>
    <t>Mitchell, Clayton</t>
  </si>
  <si>
    <t>O'Rourke, Denis</t>
  </si>
  <si>
    <t>Paraone, Pita</t>
  </si>
  <si>
    <t>Peters, Winston</t>
  </si>
  <si>
    <t>Prosser, Richard</t>
  </si>
  <si>
    <t>Stewart, Barbara</t>
  </si>
  <si>
    <t>Tabuteau, Fletcher</t>
  </si>
  <si>
    <t>Dunne, Peter</t>
  </si>
  <si>
    <t>Subtotal Parliamentary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</si>
</sst>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Border="1"/>
    <xf numFmtId="0" fontId="0" fillId="2" borderId="0" xfId="0" applyFill="1"/>
    <xf numFmtId="164" fontId="2" fillId="2" borderId="1" xfId="1" applyNumberFormat="1" applyFont="1" applyFill="1" applyBorder="1"/>
    <xf numFmtId="41" fontId="0" fillId="0" borderId="1" xfId="2" applyFont="1" applyBorder="1"/>
    <xf numFmtId="41" fontId="2" fillId="0" borderId="1" xfId="2" applyFont="1" applyBorder="1"/>
    <xf numFmtId="41" fontId="2" fillId="2" borderId="1" xfId="2" applyFont="1" applyFill="1" applyBorder="1"/>
    <xf numFmtId="0" fontId="2" fillId="2" borderId="1" xfId="0" applyFont="1" applyFill="1" applyBorder="1"/>
    <xf numFmtId="164" fontId="0" fillId="2" borderId="1" xfId="1" applyNumberFormat="1" applyFont="1" applyFill="1" applyBorder="1"/>
    <xf numFmtId="0" fontId="0" fillId="2" borderId="1" xfId="0" applyFill="1" applyBorder="1"/>
    <xf numFmtId="165" fontId="0" fillId="2" borderId="1" xfId="1" applyNumberFormat="1" applyFont="1" applyFill="1" applyBorder="1"/>
    <xf numFmtId="165" fontId="2" fillId="2" borderId="1" xfId="1" applyNumberFormat="1" applyFont="1" applyFill="1" applyBorder="1"/>
    <xf numFmtId="0" fontId="3" fillId="2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4" xfId="0" applyFont="1" applyFill="1" applyBorder="1"/>
    <xf numFmtId="164" fontId="0" fillId="2" borderId="4" xfId="1" applyNumberFormat="1" applyFont="1" applyFill="1" applyBorder="1"/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left"/>
    </xf>
    <xf numFmtId="164" fontId="2" fillId="2" borderId="4" xfId="1" applyNumberFormat="1" applyFont="1" applyFill="1" applyBorder="1" applyAlignment="1">
      <alignment horizontal="left"/>
    </xf>
    <xf numFmtId="41" fontId="2" fillId="2" borderId="4" xfId="2" applyFont="1" applyFill="1" applyBorder="1" applyAlignment="1">
      <alignment horizontal="left"/>
    </xf>
    <xf numFmtId="164" fontId="2" fillId="2" borderId="1" xfId="1" applyNumberFormat="1" applyFont="1" applyFill="1" applyBorder="1" applyAlignment="1">
      <alignment horizontal="left"/>
    </xf>
    <xf numFmtId="41" fontId="2" fillId="2" borderId="1" xfId="2" applyFont="1" applyFill="1" applyBorder="1" applyAlignment="1">
      <alignment horizontal="left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3"/>
  <sheetViews>
    <sheetView tabSelected="1" zoomScale="90" zoomScaleNormal="90" workbookViewId="0">
      <selection activeCell="K9" sqref="K9"/>
    </sheetView>
  </sheetViews>
  <sheetFormatPr defaultColWidth="9.140625" defaultRowHeight="15" x14ac:dyDescent="0.25"/>
  <cols>
    <col min="1" max="1" width="18.28515625" style="2" customWidth="1"/>
    <col min="2" max="2" width="26.5703125" style="2" bestFit="1" customWidth="1"/>
    <col min="3" max="3" width="15.7109375" style="2" bestFit="1" customWidth="1"/>
    <col min="4" max="4" width="15.28515625" style="2" bestFit="1" customWidth="1"/>
    <col min="5" max="6" width="13.28515625" style="2" customWidth="1"/>
    <col min="7" max="7" width="13.28515625" style="2" bestFit="1" customWidth="1"/>
    <col min="8" max="8" width="16.28515625" style="1" customWidth="1"/>
  </cols>
  <sheetData>
    <row r="1" spans="1:8" ht="45" customHeight="1" x14ac:dyDescent="0.25">
      <c r="A1" s="12" t="s">
        <v>0</v>
      </c>
      <c r="B1" s="12"/>
      <c r="C1" s="12"/>
      <c r="D1" s="12"/>
      <c r="E1" s="12"/>
      <c r="F1" s="12"/>
      <c r="G1" s="12"/>
    </row>
    <row r="3" spans="1:8" ht="60" customHeight="1" x14ac:dyDescent="0.25">
      <c r="A3" s="29" t="s">
        <v>1</v>
      </c>
      <c r="B3" s="18" t="s">
        <v>2</v>
      </c>
      <c r="C3" s="27" t="s">
        <v>3</v>
      </c>
      <c r="D3" s="28"/>
      <c r="E3" s="27" t="s">
        <v>4</v>
      </c>
      <c r="F3" s="28"/>
      <c r="G3" s="26" t="s">
        <v>148</v>
      </c>
      <c r="H3" s="14" t="s">
        <v>24</v>
      </c>
    </row>
    <row r="4" spans="1:8" x14ac:dyDescent="0.25">
      <c r="A4" s="13"/>
      <c r="B4" s="30"/>
      <c r="C4" s="18" t="s">
        <v>6</v>
      </c>
      <c r="D4" s="16" t="s">
        <v>7</v>
      </c>
      <c r="E4" s="18" t="s">
        <v>8</v>
      </c>
      <c r="F4" s="18" t="s">
        <v>9</v>
      </c>
      <c r="G4" s="23"/>
      <c r="H4" s="24"/>
    </row>
    <row r="5" spans="1:8" x14ac:dyDescent="0.25">
      <c r="A5" s="20"/>
      <c r="B5" s="19"/>
      <c r="C5" s="19"/>
      <c r="D5" s="17"/>
      <c r="E5" s="19"/>
      <c r="F5" s="19"/>
      <c r="G5" s="25"/>
      <c r="H5" s="15"/>
    </row>
    <row r="6" spans="1:8" x14ac:dyDescent="0.25">
      <c r="A6" s="21" t="s">
        <v>10</v>
      </c>
      <c r="B6" s="22" t="s">
        <v>25</v>
      </c>
      <c r="C6" s="31">
        <v>0</v>
      </c>
      <c r="D6" s="31">
        <v>0</v>
      </c>
      <c r="E6" s="31">
        <v>0</v>
      </c>
      <c r="F6" s="31">
        <v>0</v>
      </c>
      <c r="G6" s="32">
        <v>0</v>
      </c>
      <c r="H6" s="33">
        <v>0</v>
      </c>
    </row>
    <row r="7" spans="1:8" x14ac:dyDescent="0.25">
      <c r="A7" s="7" t="s">
        <v>11</v>
      </c>
      <c r="B7" s="9"/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5">
        <v>0</v>
      </c>
    </row>
    <row r="8" spans="1:8" x14ac:dyDescent="0.25">
      <c r="A8" s="7"/>
      <c r="B8" s="9"/>
      <c r="C8" s="8"/>
      <c r="D8" s="8"/>
      <c r="E8" s="8"/>
      <c r="F8" s="8"/>
      <c r="G8" s="3"/>
      <c r="H8" s="4"/>
    </row>
    <row r="9" spans="1:8" x14ac:dyDescent="0.25">
      <c r="A9" s="7" t="s">
        <v>12</v>
      </c>
      <c r="B9" s="8" t="s">
        <v>28</v>
      </c>
      <c r="C9" s="10">
        <v>6443.82</v>
      </c>
      <c r="D9" s="10">
        <v>1401.97</v>
      </c>
      <c r="E9" s="10">
        <v>7664.2199999999993</v>
      </c>
      <c r="F9" s="10">
        <v>4726.01</v>
      </c>
      <c r="G9" s="11">
        <v>20236.019999999997</v>
      </c>
      <c r="H9" s="6">
        <v>0</v>
      </c>
    </row>
    <row r="10" spans="1:8" x14ac:dyDescent="0.25">
      <c r="A10" s="7"/>
      <c r="B10" s="8" t="s">
        <v>27</v>
      </c>
      <c r="C10" s="10">
        <v>6443.82</v>
      </c>
      <c r="D10" s="10">
        <v>568.51</v>
      </c>
      <c r="E10" s="10">
        <v>6713.2999999999993</v>
      </c>
      <c r="F10" s="10">
        <v>1961.7900000000002</v>
      </c>
      <c r="G10" s="11">
        <v>15687.42</v>
      </c>
      <c r="H10" s="6">
        <v>0</v>
      </c>
    </row>
    <row r="11" spans="1:8" x14ac:dyDescent="0.25">
      <c r="A11" s="7"/>
      <c r="B11" s="8" t="s">
        <v>26</v>
      </c>
      <c r="C11" s="10">
        <v>2724</v>
      </c>
      <c r="D11" s="10">
        <v>798</v>
      </c>
      <c r="E11" s="10">
        <v>8266</v>
      </c>
      <c r="F11" s="10">
        <v>2780</v>
      </c>
      <c r="G11" s="11">
        <v>14568</v>
      </c>
      <c r="H11" s="6">
        <v>0</v>
      </c>
    </row>
    <row r="12" spans="1:8" x14ac:dyDescent="0.25">
      <c r="A12" s="7"/>
      <c r="B12" s="8" t="s">
        <v>29</v>
      </c>
      <c r="C12" s="10">
        <v>6443.82</v>
      </c>
      <c r="D12" s="10">
        <v>1396.46</v>
      </c>
      <c r="E12" s="10">
        <v>4090.9700000000003</v>
      </c>
      <c r="F12" s="10">
        <v>3569.5200000000004</v>
      </c>
      <c r="G12" s="11">
        <v>15500.77</v>
      </c>
      <c r="H12" s="6">
        <v>0</v>
      </c>
    </row>
    <row r="13" spans="1:8" x14ac:dyDescent="0.25">
      <c r="A13" s="7"/>
      <c r="B13" s="8" t="s">
        <v>30</v>
      </c>
      <c r="C13" s="10">
        <v>4510.68</v>
      </c>
      <c r="D13" s="10">
        <v>1497.4</v>
      </c>
      <c r="E13" s="10">
        <v>5798.3899999999994</v>
      </c>
      <c r="F13" s="10">
        <v>2469.0700000000002</v>
      </c>
      <c r="G13" s="11">
        <v>14275.539999999999</v>
      </c>
      <c r="H13" s="6">
        <v>0</v>
      </c>
    </row>
    <row r="14" spans="1:8" x14ac:dyDescent="0.25">
      <c r="A14" s="7"/>
      <c r="B14" s="8" t="s">
        <v>31</v>
      </c>
      <c r="C14" s="10">
        <v>4510.68</v>
      </c>
      <c r="D14" s="10">
        <v>547.91</v>
      </c>
      <c r="E14" s="10">
        <v>4894.1100000000006</v>
      </c>
      <c r="F14" s="10">
        <v>1647.33</v>
      </c>
      <c r="G14" s="11">
        <v>11600.03</v>
      </c>
      <c r="H14" s="6">
        <v>0</v>
      </c>
    </row>
    <row r="15" spans="1:8" x14ac:dyDescent="0.25">
      <c r="A15" s="7"/>
      <c r="B15" s="8" t="s">
        <v>32</v>
      </c>
      <c r="C15" s="10">
        <v>6443.82</v>
      </c>
      <c r="D15" s="10">
        <v>1087.78</v>
      </c>
      <c r="E15" s="10">
        <v>16008.050000000001</v>
      </c>
      <c r="F15" s="10">
        <v>4024.79</v>
      </c>
      <c r="G15" s="11">
        <v>27564.440000000002</v>
      </c>
      <c r="H15" s="6">
        <v>0</v>
      </c>
    </row>
    <row r="16" spans="1:8" x14ac:dyDescent="0.25">
      <c r="A16" s="7"/>
      <c r="B16" s="8" t="s">
        <v>33</v>
      </c>
      <c r="C16" s="10">
        <v>0</v>
      </c>
      <c r="D16" s="10">
        <v>259.13</v>
      </c>
      <c r="E16" s="10">
        <v>0</v>
      </c>
      <c r="F16" s="10">
        <v>0</v>
      </c>
      <c r="G16" s="11">
        <v>259.13</v>
      </c>
      <c r="H16" s="6">
        <v>0</v>
      </c>
    </row>
    <row r="17" spans="1:8" x14ac:dyDescent="0.25">
      <c r="A17" s="7"/>
      <c r="B17" s="8" t="s">
        <v>34</v>
      </c>
      <c r="C17" s="10">
        <v>0</v>
      </c>
      <c r="D17" s="10">
        <v>1354.9</v>
      </c>
      <c r="E17" s="10">
        <v>6693.78</v>
      </c>
      <c r="F17" s="10">
        <v>1844.08</v>
      </c>
      <c r="G17" s="11">
        <v>9892.76</v>
      </c>
      <c r="H17" s="6">
        <v>0</v>
      </c>
    </row>
    <row r="18" spans="1:8" x14ac:dyDescent="0.25">
      <c r="A18" s="7"/>
      <c r="B18" s="8" t="s">
        <v>35</v>
      </c>
      <c r="C18" s="10">
        <v>0</v>
      </c>
      <c r="D18" s="10">
        <v>2126.09</v>
      </c>
      <c r="E18" s="10">
        <v>6110.95</v>
      </c>
      <c r="F18" s="10">
        <v>3904.15</v>
      </c>
      <c r="G18" s="11">
        <v>12141.19</v>
      </c>
      <c r="H18" s="6">
        <v>0</v>
      </c>
    </row>
    <row r="19" spans="1:8" x14ac:dyDescent="0.25">
      <c r="A19" s="7"/>
      <c r="B19" s="8" t="s">
        <v>36</v>
      </c>
      <c r="C19" s="10">
        <v>6443.82</v>
      </c>
      <c r="D19" s="10">
        <v>854.33999999999992</v>
      </c>
      <c r="E19" s="10">
        <v>6861.5300000000007</v>
      </c>
      <c r="F19" s="10">
        <v>4191.2</v>
      </c>
      <c r="G19" s="11">
        <v>18350.89</v>
      </c>
      <c r="H19" s="6">
        <v>0</v>
      </c>
    </row>
    <row r="20" spans="1:8" x14ac:dyDescent="0.25">
      <c r="A20" s="7"/>
      <c r="B20" s="8" t="s">
        <v>37</v>
      </c>
      <c r="C20" s="10">
        <v>6443.82</v>
      </c>
      <c r="D20" s="10">
        <v>3793.71</v>
      </c>
      <c r="E20" s="10">
        <v>9231.5499999999993</v>
      </c>
      <c r="F20" s="10">
        <v>4129.66</v>
      </c>
      <c r="G20" s="11">
        <v>23598.739999999998</v>
      </c>
      <c r="H20" s="6">
        <v>0</v>
      </c>
    </row>
    <row r="21" spans="1:8" x14ac:dyDescent="0.25">
      <c r="A21" s="7"/>
      <c r="B21" s="8" t="s">
        <v>38</v>
      </c>
      <c r="C21" s="10">
        <v>4510.68</v>
      </c>
      <c r="D21" s="10">
        <v>843.48</v>
      </c>
      <c r="E21" s="10">
        <v>7699.77</v>
      </c>
      <c r="F21" s="10">
        <v>2542.1800000000003</v>
      </c>
      <c r="G21" s="11">
        <v>15596.11</v>
      </c>
      <c r="H21" s="6">
        <v>0</v>
      </c>
    </row>
    <row r="22" spans="1:8" x14ac:dyDescent="0.25">
      <c r="A22" s="7"/>
      <c r="B22" s="8" t="s">
        <v>39</v>
      </c>
      <c r="C22" s="10">
        <v>0</v>
      </c>
      <c r="D22" s="10">
        <v>3441.7700000000004</v>
      </c>
      <c r="E22" s="10">
        <v>6786.1900000000005</v>
      </c>
      <c r="F22" s="10">
        <v>3760.98</v>
      </c>
      <c r="G22" s="11">
        <v>13988.94</v>
      </c>
      <c r="H22" s="6">
        <v>0</v>
      </c>
    </row>
    <row r="23" spans="1:8" x14ac:dyDescent="0.25">
      <c r="A23" s="7"/>
      <c r="B23" s="8" t="s">
        <v>40</v>
      </c>
      <c r="C23" s="10">
        <v>4520.1000000000004</v>
      </c>
      <c r="D23" s="10">
        <v>3291.74</v>
      </c>
      <c r="E23" s="10">
        <v>24751.57</v>
      </c>
      <c r="F23" s="10">
        <v>5290.5</v>
      </c>
      <c r="G23" s="11">
        <v>37853.910000000003</v>
      </c>
      <c r="H23" s="6">
        <v>0</v>
      </c>
    </row>
    <row r="24" spans="1:8" x14ac:dyDescent="0.25">
      <c r="A24" s="7" t="s">
        <v>13</v>
      </c>
      <c r="B24" s="8"/>
      <c r="C24" s="11">
        <v>59439.06</v>
      </c>
      <c r="D24" s="11">
        <v>23263.190000000002</v>
      </c>
      <c r="E24" s="11">
        <v>121570.38</v>
      </c>
      <c r="F24" s="11">
        <v>46841.260000000009</v>
      </c>
      <c r="G24" s="11">
        <v>251113.88999999998</v>
      </c>
      <c r="H24" s="6">
        <v>0</v>
      </c>
    </row>
    <row r="25" spans="1:8" x14ac:dyDescent="0.25">
      <c r="A25" s="7"/>
      <c r="B25" s="8"/>
      <c r="C25" s="10"/>
      <c r="D25" s="10"/>
      <c r="E25" s="10"/>
      <c r="F25" s="10"/>
      <c r="G25" s="11"/>
      <c r="H25" s="6">
        <v>0</v>
      </c>
    </row>
    <row r="26" spans="1:8" x14ac:dyDescent="0.25">
      <c r="A26" s="7" t="s">
        <v>14</v>
      </c>
      <c r="B26" s="8" t="s">
        <v>41</v>
      </c>
      <c r="C26" s="8">
        <v>6443.82</v>
      </c>
      <c r="D26" s="8">
        <v>295.64999999999998</v>
      </c>
      <c r="E26" s="8">
        <v>3326.49</v>
      </c>
      <c r="F26" s="8">
        <v>2739.33</v>
      </c>
      <c r="G26" s="11">
        <v>12805.289999999999</v>
      </c>
      <c r="H26" s="6">
        <v>0</v>
      </c>
    </row>
    <row r="27" spans="1:8" x14ac:dyDescent="0.25">
      <c r="A27" s="7"/>
      <c r="B27" s="8" t="s">
        <v>42</v>
      </c>
      <c r="C27" s="8">
        <v>4510.68</v>
      </c>
      <c r="D27" s="8">
        <v>482.6</v>
      </c>
      <c r="E27" s="8">
        <v>5669.01</v>
      </c>
      <c r="F27" s="8">
        <v>3660.72</v>
      </c>
      <c r="G27" s="11">
        <v>14323.01</v>
      </c>
      <c r="H27" s="6">
        <v>0</v>
      </c>
    </row>
    <row r="28" spans="1:8" x14ac:dyDescent="0.25">
      <c r="A28" s="7"/>
      <c r="B28" s="8" t="s">
        <v>43</v>
      </c>
      <c r="C28" s="8">
        <v>1451.6100000000001</v>
      </c>
      <c r="D28" s="8">
        <v>1469.7</v>
      </c>
      <c r="E28" s="8">
        <v>8344.0500000000011</v>
      </c>
      <c r="F28" s="8">
        <v>6427.42</v>
      </c>
      <c r="G28" s="11">
        <v>17692.78</v>
      </c>
      <c r="H28" s="6">
        <v>0</v>
      </c>
    </row>
    <row r="29" spans="1:8" x14ac:dyDescent="0.25">
      <c r="A29" s="7"/>
      <c r="B29" s="8" t="s">
        <v>44</v>
      </c>
      <c r="C29" s="8">
        <v>6443.82</v>
      </c>
      <c r="D29" s="8">
        <v>296</v>
      </c>
      <c r="E29" s="8">
        <v>4064.91</v>
      </c>
      <c r="F29" s="8">
        <v>4513.4500000000007</v>
      </c>
      <c r="G29" s="11">
        <v>15318.18</v>
      </c>
      <c r="H29" s="6">
        <v>0</v>
      </c>
    </row>
    <row r="30" spans="1:8" x14ac:dyDescent="0.25">
      <c r="A30" s="7"/>
      <c r="B30" s="8" t="s">
        <v>45</v>
      </c>
      <c r="C30" s="8">
        <v>6443.82</v>
      </c>
      <c r="D30" s="8">
        <v>246.33000000000004</v>
      </c>
      <c r="E30" s="8">
        <v>7135.3</v>
      </c>
      <c r="F30" s="8">
        <v>2035.48</v>
      </c>
      <c r="G30" s="11">
        <v>15860.93</v>
      </c>
      <c r="H30" s="6">
        <v>0</v>
      </c>
    </row>
    <row r="31" spans="1:8" x14ac:dyDescent="0.25">
      <c r="A31" s="7"/>
      <c r="B31" s="8" t="s">
        <v>46</v>
      </c>
      <c r="C31" s="8">
        <v>6443.82</v>
      </c>
      <c r="D31" s="8">
        <v>1983</v>
      </c>
      <c r="E31" s="8">
        <v>6022.2800000000007</v>
      </c>
      <c r="F31" s="8">
        <v>7326.35</v>
      </c>
      <c r="G31" s="11">
        <v>21775.45</v>
      </c>
      <c r="H31" s="6">
        <v>0</v>
      </c>
    </row>
    <row r="32" spans="1:8" x14ac:dyDescent="0.25">
      <c r="A32" s="7"/>
      <c r="B32" s="8" t="s">
        <v>47</v>
      </c>
      <c r="C32" s="8">
        <v>6443.82</v>
      </c>
      <c r="D32" s="8">
        <v>538.87</v>
      </c>
      <c r="E32" s="8">
        <v>4481.33</v>
      </c>
      <c r="F32" s="8">
        <v>2423.9900000000002</v>
      </c>
      <c r="G32" s="11">
        <v>13888.01</v>
      </c>
      <c r="H32" s="6">
        <v>0</v>
      </c>
    </row>
    <row r="33" spans="1:8" x14ac:dyDescent="0.25">
      <c r="A33" s="7"/>
      <c r="B33" s="8" t="s">
        <v>48</v>
      </c>
      <c r="C33" s="8">
        <v>0</v>
      </c>
      <c r="D33" s="8">
        <v>1008.09</v>
      </c>
      <c r="E33" s="8">
        <v>5261.47</v>
      </c>
      <c r="F33" s="8">
        <v>5891.3099999999995</v>
      </c>
      <c r="G33" s="11">
        <v>12160.869999999999</v>
      </c>
      <c r="H33" s="6">
        <v>0</v>
      </c>
    </row>
    <row r="34" spans="1:8" x14ac:dyDescent="0.25">
      <c r="A34" s="7"/>
      <c r="B34" s="8" t="s">
        <v>49</v>
      </c>
      <c r="C34" s="8">
        <v>2339.1100000000006</v>
      </c>
      <c r="D34" s="8">
        <v>1552.3200000000002</v>
      </c>
      <c r="E34" s="8">
        <v>3870.8599999999997</v>
      </c>
      <c r="F34" s="8">
        <v>6534.25</v>
      </c>
      <c r="G34" s="11">
        <v>14296.54</v>
      </c>
      <c r="H34" s="6">
        <v>0</v>
      </c>
    </row>
    <row r="35" spans="1:8" x14ac:dyDescent="0.25">
      <c r="A35" s="7"/>
      <c r="B35" s="8" t="s">
        <v>50</v>
      </c>
      <c r="C35" s="8">
        <v>0</v>
      </c>
      <c r="D35" s="8">
        <v>330.44</v>
      </c>
      <c r="E35" s="8">
        <v>2101.2799999999997</v>
      </c>
      <c r="F35" s="8">
        <v>612.34</v>
      </c>
      <c r="G35" s="11">
        <v>3044.06</v>
      </c>
      <c r="H35" s="6">
        <v>0</v>
      </c>
    </row>
    <row r="36" spans="1:8" x14ac:dyDescent="0.25">
      <c r="A36" s="7"/>
      <c r="B36" s="8" t="s">
        <v>51</v>
      </c>
      <c r="C36" s="8">
        <v>330</v>
      </c>
      <c r="D36" s="8">
        <v>0</v>
      </c>
      <c r="E36" s="8">
        <v>1854</v>
      </c>
      <c r="F36" s="8">
        <v>452</v>
      </c>
      <c r="G36" s="11">
        <v>2636</v>
      </c>
      <c r="H36" s="6">
        <v>0</v>
      </c>
    </row>
    <row r="37" spans="1:8" x14ac:dyDescent="0.25">
      <c r="A37" s="7"/>
      <c r="B37" s="8" t="s">
        <v>52</v>
      </c>
      <c r="C37" s="8">
        <v>0</v>
      </c>
      <c r="D37" s="8">
        <v>822.61</v>
      </c>
      <c r="E37" s="8">
        <v>3493.74</v>
      </c>
      <c r="F37" s="8">
        <v>2387.2399999999998</v>
      </c>
      <c r="G37" s="11">
        <v>6703.5899999999992</v>
      </c>
      <c r="H37" s="4">
        <v>11672</v>
      </c>
    </row>
    <row r="38" spans="1:8" x14ac:dyDescent="0.25">
      <c r="A38" s="7"/>
      <c r="B38" s="8" t="s">
        <v>53</v>
      </c>
      <c r="C38" s="8">
        <v>4510.68</v>
      </c>
      <c r="D38" s="8">
        <v>203.11</v>
      </c>
      <c r="E38" s="8">
        <v>4342.91</v>
      </c>
      <c r="F38" s="8">
        <v>2349.69</v>
      </c>
      <c r="G38" s="11">
        <v>11406.390000000001</v>
      </c>
      <c r="H38" s="6">
        <v>0</v>
      </c>
    </row>
    <row r="39" spans="1:8" x14ac:dyDescent="0.25">
      <c r="A39" s="7"/>
      <c r="B39" s="8" t="s">
        <v>54</v>
      </c>
      <c r="C39" s="8">
        <v>0</v>
      </c>
      <c r="D39" s="8">
        <v>4941.17</v>
      </c>
      <c r="E39" s="8">
        <v>2799.2100000000009</v>
      </c>
      <c r="F39" s="8">
        <v>20843.09</v>
      </c>
      <c r="G39" s="11">
        <v>28583.47</v>
      </c>
      <c r="H39" s="6">
        <v>0</v>
      </c>
    </row>
    <row r="40" spans="1:8" x14ac:dyDescent="0.25">
      <c r="A40" s="7"/>
      <c r="B40" s="8" t="s">
        <v>55</v>
      </c>
      <c r="C40" s="8">
        <v>6443.82</v>
      </c>
      <c r="D40" s="8">
        <v>1855.46</v>
      </c>
      <c r="E40" s="8">
        <v>5027.8500000000004</v>
      </c>
      <c r="F40" s="8">
        <v>3873.56</v>
      </c>
      <c r="G40" s="11">
        <v>17200.689999999999</v>
      </c>
      <c r="H40" s="6">
        <v>0</v>
      </c>
    </row>
    <row r="41" spans="1:8" x14ac:dyDescent="0.25">
      <c r="A41" s="7"/>
      <c r="B41" s="8" t="s">
        <v>56</v>
      </c>
      <c r="C41" s="8">
        <v>0</v>
      </c>
      <c r="D41" s="8">
        <v>400.08000000000004</v>
      </c>
      <c r="E41" s="8">
        <v>8638.7999999999993</v>
      </c>
      <c r="F41" s="8">
        <v>7115.39</v>
      </c>
      <c r="G41" s="11">
        <v>16154.27</v>
      </c>
      <c r="H41" s="6">
        <v>0</v>
      </c>
    </row>
    <row r="42" spans="1:8" x14ac:dyDescent="0.25">
      <c r="A42" s="7"/>
      <c r="B42" s="8" t="s">
        <v>57</v>
      </c>
      <c r="C42" s="8">
        <v>6443.82</v>
      </c>
      <c r="D42" s="8">
        <v>745.11</v>
      </c>
      <c r="E42" s="8">
        <v>6129.0499999999993</v>
      </c>
      <c r="F42" s="8">
        <v>1510.8700000000001</v>
      </c>
      <c r="G42" s="11">
        <v>14828.85</v>
      </c>
      <c r="H42" s="6">
        <v>0</v>
      </c>
    </row>
    <row r="43" spans="1:8" x14ac:dyDescent="0.25">
      <c r="A43" s="7"/>
      <c r="B43" s="8" t="s">
        <v>58</v>
      </c>
      <c r="C43" s="8">
        <v>6443.82</v>
      </c>
      <c r="D43" s="8">
        <v>957.48</v>
      </c>
      <c r="E43" s="8">
        <v>5680.46</v>
      </c>
      <c r="F43" s="8">
        <v>3250.71</v>
      </c>
      <c r="G43" s="11">
        <v>16332.469999999998</v>
      </c>
      <c r="H43" s="6">
        <v>0</v>
      </c>
    </row>
    <row r="44" spans="1:8" x14ac:dyDescent="0.25">
      <c r="A44" s="7"/>
      <c r="B44" s="8" t="s">
        <v>59</v>
      </c>
      <c r="C44" s="8">
        <v>4510.68</v>
      </c>
      <c r="D44" s="8">
        <v>1519.97</v>
      </c>
      <c r="E44" s="8">
        <v>7021.74</v>
      </c>
      <c r="F44" s="8">
        <v>7931.8200000000006</v>
      </c>
      <c r="G44" s="11">
        <v>20984.21</v>
      </c>
      <c r="H44" s="6">
        <v>0</v>
      </c>
    </row>
    <row r="45" spans="1:8" x14ac:dyDescent="0.25">
      <c r="A45" s="7"/>
      <c r="B45" s="8" t="s">
        <v>60</v>
      </c>
      <c r="C45" s="8">
        <v>4510.68</v>
      </c>
      <c r="D45" s="8">
        <v>476.42</v>
      </c>
      <c r="E45" s="8">
        <v>9832.09</v>
      </c>
      <c r="F45" s="8">
        <v>4709.84</v>
      </c>
      <c r="G45" s="11">
        <v>19529.03</v>
      </c>
      <c r="H45" s="6">
        <v>0</v>
      </c>
    </row>
    <row r="46" spans="1:8" x14ac:dyDescent="0.25">
      <c r="A46" s="7"/>
      <c r="B46" s="8" t="s">
        <v>61</v>
      </c>
      <c r="C46" s="8">
        <v>0</v>
      </c>
      <c r="D46" s="8">
        <v>1408.34</v>
      </c>
      <c r="E46" s="8">
        <v>5094.3599999999997</v>
      </c>
      <c r="F46" s="8">
        <v>1655.67</v>
      </c>
      <c r="G46" s="11">
        <v>8158.37</v>
      </c>
      <c r="H46" s="6">
        <v>0</v>
      </c>
    </row>
    <row r="47" spans="1:8" x14ac:dyDescent="0.25">
      <c r="A47" s="7"/>
      <c r="B47" s="8" t="s">
        <v>62</v>
      </c>
      <c r="C47" s="8">
        <v>6443.82</v>
      </c>
      <c r="D47" s="8">
        <v>1206.19</v>
      </c>
      <c r="E47" s="8">
        <v>1762.5</v>
      </c>
      <c r="F47" s="8">
        <v>5135.32</v>
      </c>
      <c r="G47" s="11">
        <v>14547.83</v>
      </c>
      <c r="H47" s="6">
        <v>0</v>
      </c>
    </row>
    <row r="48" spans="1:8" x14ac:dyDescent="0.25">
      <c r="A48" s="7"/>
      <c r="B48" s="8" t="s">
        <v>63</v>
      </c>
      <c r="C48" s="8">
        <v>4510.68</v>
      </c>
      <c r="D48" s="8">
        <v>398.26</v>
      </c>
      <c r="E48" s="8">
        <v>6627.81</v>
      </c>
      <c r="F48" s="8">
        <v>10879.06</v>
      </c>
      <c r="G48" s="11">
        <v>22415.809999999998</v>
      </c>
      <c r="H48" s="4">
        <v>4765</v>
      </c>
    </row>
    <row r="49" spans="1:9" x14ac:dyDescent="0.25">
      <c r="A49" s="7"/>
      <c r="B49" s="8" t="s">
        <v>64</v>
      </c>
      <c r="C49" s="8">
        <v>0</v>
      </c>
      <c r="D49" s="8">
        <v>330.44</v>
      </c>
      <c r="E49" s="8">
        <v>0</v>
      </c>
      <c r="F49" s="8">
        <v>3492.3199999999997</v>
      </c>
      <c r="G49" s="11">
        <v>3822.7599999999998</v>
      </c>
      <c r="H49" s="6">
        <v>0</v>
      </c>
    </row>
    <row r="50" spans="1:9" x14ac:dyDescent="0.25">
      <c r="A50" s="7"/>
      <c r="B50" s="8" t="s">
        <v>65</v>
      </c>
      <c r="C50" s="8">
        <v>1486.94</v>
      </c>
      <c r="D50" s="8">
        <v>-1615.0299999999997</v>
      </c>
      <c r="E50" s="8">
        <v>7427.77</v>
      </c>
      <c r="F50" s="8">
        <v>2924.6800000000003</v>
      </c>
      <c r="G50" s="11">
        <v>10224.36</v>
      </c>
      <c r="H50" s="6">
        <v>0</v>
      </c>
    </row>
    <row r="51" spans="1:9" x14ac:dyDescent="0.25">
      <c r="A51" s="7"/>
      <c r="B51" s="8" t="s">
        <v>66</v>
      </c>
      <c r="C51" s="8">
        <v>1490</v>
      </c>
      <c r="D51" s="8">
        <v>1188</v>
      </c>
      <c r="E51" s="8">
        <v>6881</v>
      </c>
      <c r="F51" s="8">
        <v>4988</v>
      </c>
      <c r="G51" s="11">
        <v>14547</v>
      </c>
      <c r="H51" s="6">
        <v>0</v>
      </c>
    </row>
    <row r="52" spans="1:9" x14ac:dyDescent="0.25">
      <c r="A52" s="7"/>
      <c r="B52" s="8" t="s">
        <v>67</v>
      </c>
      <c r="C52" s="8">
        <v>4257.58</v>
      </c>
      <c r="D52" s="8">
        <v>1275.6099999999999</v>
      </c>
      <c r="E52" s="8">
        <v>10379.780000000001</v>
      </c>
      <c r="F52" s="8">
        <v>6556.9000000000005</v>
      </c>
      <c r="G52" s="11">
        <v>22469.870000000003</v>
      </c>
      <c r="H52" s="6">
        <v>0</v>
      </c>
    </row>
    <row r="53" spans="1:9" x14ac:dyDescent="0.25">
      <c r="A53" s="7"/>
      <c r="B53" s="8" t="s">
        <v>68</v>
      </c>
      <c r="C53" s="8">
        <v>2313.04</v>
      </c>
      <c r="D53" s="8">
        <v>234.99</v>
      </c>
      <c r="E53" s="8">
        <v>7073.26</v>
      </c>
      <c r="F53" s="8">
        <v>4674.6100000000006</v>
      </c>
      <c r="G53" s="11">
        <v>14295.900000000001</v>
      </c>
      <c r="H53" s="6">
        <v>0</v>
      </c>
    </row>
    <row r="54" spans="1:9" x14ac:dyDescent="0.25">
      <c r="A54" s="7"/>
      <c r="B54" s="8" t="s">
        <v>69</v>
      </c>
      <c r="C54" s="8">
        <v>6443.82</v>
      </c>
      <c r="D54" s="8">
        <v>309.32</v>
      </c>
      <c r="E54" s="8">
        <v>5589.31</v>
      </c>
      <c r="F54" s="8">
        <v>5771.92</v>
      </c>
      <c r="G54" s="11">
        <v>18114.370000000003</v>
      </c>
      <c r="H54" s="4">
        <v>1246</v>
      </c>
    </row>
    <row r="55" spans="1:9" x14ac:dyDescent="0.25">
      <c r="A55" s="7"/>
      <c r="B55" s="8" t="s">
        <v>70</v>
      </c>
      <c r="C55" s="8">
        <v>4385.92</v>
      </c>
      <c r="D55" s="8">
        <v>1964.59</v>
      </c>
      <c r="E55" s="8">
        <v>4607.5</v>
      </c>
      <c r="F55" s="8">
        <v>4753.5200000000004</v>
      </c>
      <c r="G55" s="11">
        <v>15711.53</v>
      </c>
      <c r="H55" s="6">
        <v>0</v>
      </c>
    </row>
    <row r="56" spans="1:9" x14ac:dyDescent="0.25">
      <c r="A56" s="7"/>
      <c r="B56" s="8" t="s">
        <v>71</v>
      </c>
      <c r="C56" s="8">
        <v>6443.82</v>
      </c>
      <c r="D56" s="8">
        <v>1008.1700000000001</v>
      </c>
      <c r="E56" s="8">
        <v>11278.3</v>
      </c>
      <c r="F56" s="8">
        <v>4062.28</v>
      </c>
      <c r="G56" s="11">
        <v>22792.57</v>
      </c>
      <c r="H56" s="4">
        <v>9906</v>
      </c>
    </row>
    <row r="57" spans="1:9" x14ac:dyDescent="0.25">
      <c r="A57" s="7"/>
      <c r="B57" s="8" t="s">
        <v>72</v>
      </c>
      <c r="C57" s="8">
        <v>5676</v>
      </c>
      <c r="D57" s="8">
        <v>330</v>
      </c>
      <c r="E57" s="8">
        <v>4838</v>
      </c>
      <c r="F57" s="8">
        <v>1165</v>
      </c>
      <c r="G57" s="11">
        <v>12009</v>
      </c>
      <c r="H57" s="6">
        <v>0</v>
      </c>
    </row>
    <row r="58" spans="1:9" x14ac:dyDescent="0.25">
      <c r="A58" s="7"/>
      <c r="B58" s="8" t="s">
        <v>73</v>
      </c>
      <c r="C58" s="8">
        <v>6443.82</v>
      </c>
      <c r="D58" s="8">
        <v>76.87</v>
      </c>
      <c r="E58" s="8">
        <v>7149.49</v>
      </c>
      <c r="F58" s="8">
        <v>5166.91</v>
      </c>
      <c r="G58" s="11">
        <v>18837.09</v>
      </c>
      <c r="H58" s="6">
        <v>0</v>
      </c>
    </row>
    <row r="59" spans="1:9" x14ac:dyDescent="0.25">
      <c r="A59" s="7" t="s">
        <v>15</v>
      </c>
      <c r="B59" s="9"/>
      <c r="C59" s="11">
        <v>123609.44</v>
      </c>
      <c r="D59" s="11">
        <v>28240.16</v>
      </c>
      <c r="E59" s="11">
        <v>183805.91</v>
      </c>
      <c r="F59" s="11">
        <v>157815.03999999998</v>
      </c>
      <c r="G59" s="11">
        <v>493470.55000000005</v>
      </c>
      <c r="H59" s="5">
        <f>H56+H54+H48+H37</f>
        <v>27589</v>
      </c>
    </row>
    <row r="60" spans="1:9" x14ac:dyDescent="0.25">
      <c r="A60" s="7"/>
      <c r="B60" s="9"/>
      <c r="C60" s="10"/>
      <c r="D60" s="10"/>
      <c r="E60" s="10"/>
      <c r="F60" s="10"/>
      <c r="G60" s="11"/>
      <c r="H60" s="4"/>
    </row>
    <row r="61" spans="1:9" x14ac:dyDescent="0.25">
      <c r="A61" s="7" t="s">
        <v>16</v>
      </c>
      <c r="B61" s="8" t="s">
        <v>74</v>
      </c>
      <c r="C61" s="10">
        <v>0</v>
      </c>
      <c r="D61" s="10">
        <v>0</v>
      </c>
      <c r="E61" s="10">
        <v>296.52</v>
      </c>
      <c r="F61" s="10">
        <v>0</v>
      </c>
      <c r="G61" s="11">
        <v>296.52</v>
      </c>
      <c r="H61" s="6">
        <v>0</v>
      </c>
      <c r="I61" s="1"/>
    </row>
    <row r="62" spans="1:9" x14ac:dyDescent="0.25">
      <c r="A62" s="7"/>
      <c r="B62" s="8" t="s">
        <v>75</v>
      </c>
      <c r="C62" s="10">
        <v>4388.3600000000006</v>
      </c>
      <c r="D62" s="10">
        <v>3532.26</v>
      </c>
      <c r="E62" s="10">
        <v>3941.09</v>
      </c>
      <c r="F62" s="10">
        <v>9795.44</v>
      </c>
      <c r="G62" s="11">
        <v>21657.15</v>
      </c>
      <c r="H62" s="4">
        <v>6463</v>
      </c>
    </row>
    <row r="63" spans="1:9" s="1" customFormat="1" x14ac:dyDescent="0.25">
      <c r="A63" s="7" t="s">
        <v>17</v>
      </c>
      <c r="B63" s="9"/>
      <c r="C63" s="11">
        <v>4388.3600000000006</v>
      </c>
      <c r="D63" s="11">
        <v>3532.26</v>
      </c>
      <c r="E63" s="11">
        <v>4237.6100000000006</v>
      </c>
      <c r="F63" s="11">
        <v>9795.44</v>
      </c>
      <c r="G63" s="11">
        <v>21953.670000000002</v>
      </c>
      <c r="H63" s="5">
        <v>6463</v>
      </c>
      <c r="I63"/>
    </row>
    <row r="64" spans="1:9" s="1" customFormat="1" x14ac:dyDescent="0.25">
      <c r="A64" s="7"/>
      <c r="B64" s="9"/>
      <c r="C64" s="10"/>
      <c r="D64" s="10"/>
      <c r="E64" s="10"/>
      <c r="F64" s="10"/>
      <c r="G64" s="11"/>
      <c r="H64" s="4"/>
      <c r="I64"/>
    </row>
    <row r="65" spans="1:9" s="1" customFormat="1" x14ac:dyDescent="0.25">
      <c r="A65" s="7" t="s">
        <v>18</v>
      </c>
      <c r="B65" s="8" t="s">
        <v>76</v>
      </c>
      <c r="C65" s="10">
        <v>0</v>
      </c>
      <c r="D65" s="10">
        <v>0</v>
      </c>
      <c r="E65" s="10">
        <v>372.87</v>
      </c>
      <c r="F65" s="10">
        <v>0</v>
      </c>
      <c r="G65" s="11">
        <v>372.87</v>
      </c>
      <c r="H65" s="6">
        <v>0</v>
      </c>
      <c r="I65"/>
    </row>
    <row r="66" spans="1:9" s="1" customFormat="1" x14ac:dyDescent="0.25">
      <c r="A66" s="7"/>
      <c r="B66" s="8" t="s">
        <v>77</v>
      </c>
      <c r="C66" s="10">
        <v>6443.82</v>
      </c>
      <c r="D66" s="10">
        <v>221.60999999999996</v>
      </c>
      <c r="E66" s="10">
        <v>6537.0500000000011</v>
      </c>
      <c r="F66" s="10">
        <v>2750.59</v>
      </c>
      <c r="G66" s="11">
        <v>15953.07</v>
      </c>
      <c r="H66" s="6">
        <v>0</v>
      </c>
      <c r="I66"/>
    </row>
    <row r="67" spans="1:9" s="1" customFormat="1" x14ac:dyDescent="0.25">
      <c r="A67" s="7"/>
      <c r="B67" s="8" t="s">
        <v>78</v>
      </c>
      <c r="C67" s="10">
        <v>6443.82</v>
      </c>
      <c r="D67" s="10">
        <v>1617.67</v>
      </c>
      <c r="E67" s="10">
        <v>8280.07</v>
      </c>
      <c r="F67" s="10">
        <v>11101.740000000002</v>
      </c>
      <c r="G67" s="11">
        <v>27443.300000000003</v>
      </c>
      <c r="H67" s="6">
        <v>0</v>
      </c>
      <c r="I67"/>
    </row>
    <row r="68" spans="1:9" s="1" customFormat="1" x14ac:dyDescent="0.25">
      <c r="A68" s="7"/>
      <c r="B68" s="8" t="s">
        <v>79</v>
      </c>
      <c r="C68" s="10">
        <v>0</v>
      </c>
      <c r="D68" s="10">
        <v>0</v>
      </c>
      <c r="E68" s="10">
        <v>836.63</v>
      </c>
      <c r="F68" s="10">
        <v>0</v>
      </c>
      <c r="G68" s="11">
        <v>836.63</v>
      </c>
      <c r="H68" s="6">
        <v>0</v>
      </c>
      <c r="I68"/>
    </row>
    <row r="69" spans="1:9" s="1" customFormat="1" x14ac:dyDescent="0.25">
      <c r="A69" s="7"/>
      <c r="B69" s="8" t="s">
        <v>80</v>
      </c>
      <c r="C69" s="10">
        <v>6443.82</v>
      </c>
      <c r="D69" s="10">
        <v>321.74</v>
      </c>
      <c r="E69" s="10">
        <v>4863.88</v>
      </c>
      <c r="F69" s="10">
        <v>4525.63</v>
      </c>
      <c r="G69" s="11">
        <v>16155.07</v>
      </c>
      <c r="H69" s="6">
        <v>0</v>
      </c>
      <c r="I69"/>
    </row>
    <row r="70" spans="1:9" s="1" customFormat="1" x14ac:dyDescent="0.25">
      <c r="A70" s="7"/>
      <c r="B70" s="8" t="s">
        <v>81</v>
      </c>
      <c r="C70" s="10">
        <v>0</v>
      </c>
      <c r="D70" s="10">
        <v>0</v>
      </c>
      <c r="E70" s="10">
        <v>0</v>
      </c>
      <c r="F70" s="10">
        <v>41.47999999999999</v>
      </c>
      <c r="G70" s="11">
        <v>41.47999999999999</v>
      </c>
      <c r="H70" s="6">
        <v>0</v>
      </c>
      <c r="I70"/>
    </row>
    <row r="71" spans="1:9" s="1" customFormat="1" x14ac:dyDescent="0.25">
      <c r="A71" s="7"/>
      <c r="B71" s="8" t="s">
        <v>82</v>
      </c>
      <c r="C71" s="10">
        <v>0</v>
      </c>
      <c r="D71" s="10">
        <v>0</v>
      </c>
      <c r="E71" s="10">
        <v>0</v>
      </c>
      <c r="F71" s="10">
        <v>0</v>
      </c>
      <c r="G71" s="11">
        <v>0</v>
      </c>
      <c r="H71" s="6">
        <v>0</v>
      </c>
      <c r="I71"/>
    </row>
    <row r="72" spans="1:9" s="1" customFormat="1" x14ac:dyDescent="0.25">
      <c r="A72" s="7"/>
      <c r="B72" s="8" t="s">
        <v>83</v>
      </c>
      <c r="C72" s="10">
        <v>0</v>
      </c>
      <c r="D72" s="10">
        <v>621.1</v>
      </c>
      <c r="E72" s="10">
        <v>2180.67</v>
      </c>
      <c r="F72" s="10">
        <v>3166</v>
      </c>
      <c r="G72" s="11">
        <v>5967.77</v>
      </c>
      <c r="H72" s="4">
        <v>1099</v>
      </c>
      <c r="I72"/>
    </row>
    <row r="73" spans="1:9" s="1" customFormat="1" x14ac:dyDescent="0.25">
      <c r="A73" s="7"/>
      <c r="B73" s="8" t="s">
        <v>84</v>
      </c>
      <c r="C73" s="10">
        <v>9435.5999999999985</v>
      </c>
      <c r="D73" s="10">
        <v>0</v>
      </c>
      <c r="E73" s="10">
        <v>4551.26</v>
      </c>
      <c r="F73" s="10">
        <v>5831.67</v>
      </c>
      <c r="G73" s="11">
        <v>19818.53</v>
      </c>
      <c r="H73" s="6">
        <v>0</v>
      </c>
      <c r="I73"/>
    </row>
    <row r="74" spans="1:9" s="1" customFormat="1" x14ac:dyDescent="0.25">
      <c r="A74" s="7"/>
      <c r="B74" s="8" t="s">
        <v>85</v>
      </c>
      <c r="C74" s="10">
        <v>0</v>
      </c>
      <c r="D74" s="10">
        <v>0</v>
      </c>
      <c r="E74" s="10">
        <v>1086.6500000000001</v>
      </c>
      <c r="F74" s="10">
        <v>0</v>
      </c>
      <c r="G74" s="11">
        <v>1086.6500000000001</v>
      </c>
      <c r="H74" s="6">
        <v>0</v>
      </c>
      <c r="I74"/>
    </row>
    <row r="75" spans="1:9" s="1" customFormat="1" x14ac:dyDescent="0.25">
      <c r="A75" s="7"/>
      <c r="B75" s="8" t="s">
        <v>86</v>
      </c>
      <c r="C75" s="10">
        <v>0</v>
      </c>
      <c r="D75" s="10">
        <v>0</v>
      </c>
      <c r="E75" s="10">
        <v>1661.1399999999999</v>
      </c>
      <c r="F75" s="10">
        <v>0</v>
      </c>
      <c r="G75" s="11">
        <v>1661.1399999999999</v>
      </c>
      <c r="H75" s="6">
        <v>0</v>
      </c>
      <c r="I75"/>
    </row>
    <row r="76" spans="1:9" s="1" customFormat="1" x14ac:dyDescent="0.25">
      <c r="A76" s="7"/>
      <c r="B76" s="8" t="s">
        <v>87</v>
      </c>
      <c r="C76" s="10">
        <v>9435.5999999999985</v>
      </c>
      <c r="D76" s="10">
        <v>0</v>
      </c>
      <c r="E76" s="10">
        <v>5863.33</v>
      </c>
      <c r="F76" s="10">
        <v>1082.44</v>
      </c>
      <c r="G76" s="11">
        <v>16381.369999999999</v>
      </c>
      <c r="H76" s="4">
        <v>35302</v>
      </c>
      <c r="I76"/>
    </row>
    <row r="77" spans="1:9" s="1" customFormat="1" x14ac:dyDescent="0.25">
      <c r="A77" s="7"/>
      <c r="B77" s="8" t="s">
        <v>88</v>
      </c>
      <c r="C77" s="10">
        <v>0</v>
      </c>
      <c r="D77" s="10">
        <v>0</v>
      </c>
      <c r="E77" s="10">
        <v>0</v>
      </c>
      <c r="F77" s="10">
        <v>0</v>
      </c>
      <c r="G77" s="11">
        <v>0</v>
      </c>
      <c r="H77" s="6">
        <v>0</v>
      </c>
      <c r="I77"/>
    </row>
    <row r="78" spans="1:9" s="1" customFormat="1" x14ac:dyDescent="0.25">
      <c r="A78" s="7"/>
      <c r="B78" s="8" t="s">
        <v>89</v>
      </c>
      <c r="C78" s="10">
        <v>0</v>
      </c>
      <c r="D78" s="10">
        <v>0</v>
      </c>
      <c r="E78" s="10">
        <v>840.35</v>
      </c>
      <c r="F78" s="10">
        <v>0</v>
      </c>
      <c r="G78" s="11">
        <v>840.35</v>
      </c>
      <c r="H78" s="6">
        <v>0</v>
      </c>
      <c r="I78"/>
    </row>
    <row r="79" spans="1:9" s="1" customFormat="1" x14ac:dyDescent="0.25">
      <c r="A79" s="7"/>
      <c r="B79" s="8" t="s">
        <v>90</v>
      </c>
      <c r="C79" s="10">
        <v>0</v>
      </c>
      <c r="D79" s="10">
        <v>165.22</v>
      </c>
      <c r="E79" s="10">
        <v>398.05</v>
      </c>
      <c r="F79" s="10">
        <v>157.02000000000001</v>
      </c>
      <c r="G79" s="11">
        <v>720.29</v>
      </c>
      <c r="H79" s="6">
        <v>0</v>
      </c>
      <c r="I79"/>
    </row>
    <row r="80" spans="1:9" s="1" customFormat="1" x14ac:dyDescent="0.25">
      <c r="A80" s="7"/>
      <c r="B80" s="8" t="s">
        <v>91</v>
      </c>
      <c r="C80" s="10">
        <v>2478.2399999999998</v>
      </c>
      <c r="D80" s="10">
        <v>419.42</v>
      </c>
      <c r="E80" s="10">
        <v>4304.3599999999997</v>
      </c>
      <c r="F80" s="10">
        <v>7014.0499999999993</v>
      </c>
      <c r="G80" s="11">
        <v>14216.07</v>
      </c>
      <c r="H80" s="6">
        <v>0</v>
      </c>
      <c r="I80"/>
    </row>
    <row r="81" spans="1:9" s="1" customFormat="1" x14ac:dyDescent="0.25">
      <c r="A81" s="7"/>
      <c r="B81" s="8" t="s">
        <v>92</v>
      </c>
      <c r="C81" s="10">
        <v>4510.68</v>
      </c>
      <c r="D81" s="10">
        <v>291.3</v>
      </c>
      <c r="E81" s="10">
        <v>3927.8900000000003</v>
      </c>
      <c r="F81" s="10">
        <v>3135.46</v>
      </c>
      <c r="G81" s="11">
        <v>11865.330000000002</v>
      </c>
      <c r="H81" s="4">
        <v>1649</v>
      </c>
      <c r="I81"/>
    </row>
    <row r="82" spans="1:9" s="1" customFormat="1" x14ac:dyDescent="0.25">
      <c r="A82" s="7"/>
      <c r="B82" s="8" t="s">
        <v>93</v>
      </c>
      <c r="C82" s="10">
        <v>0</v>
      </c>
      <c r="D82" s="10">
        <v>0</v>
      </c>
      <c r="E82" s="10">
        <v>1513.29</v>
      </c>
      <c r="F82" s="10">
        <v>0</v>
      </c>
      <c r="G82" s="11">
        <v>1513.29</v>
      </c>
      <c r="H82" s="6">
        <v>0</v>
      </c>
      <c r="I82"/>
    </row>
    <row r="83" spans="1:9" s="1" customFormat="1" x14ac:dyDescent="0.25">
      <c r="A83" s="7"/>
      <c r="B83" s="8" t="s">
        <v>94</v>
      </c>
      <c r="C83" s="10">
        <v>0</v>
      </c>
      <c r="D83" s="10">
        <v>0</v>
      </c>
      <c r="E83" s="10">
        <v>0</v>
      </c>
      <c r="F83" s="10">
        <v>0</v>
      </c>
      <c r="G83" s="11">
        <v>0</v>
      </c>
      <c r="H83" s="6">
        <v>0</v>
      </c>
      <c r="I83"/>
    </row>
    <row r="84" spans="1:9" s="1" customFormat="1" x14ac:dyDescent="0.25">
      <c r="A84" s="7"/>
      <c r="B84" s="8" t="s">
        <v>95</v>
      </c>
      <c r="C84" s="10">
        <v>6443.82</v>
      </c>
      <c r="D84" s="10">
        <v>0</v>
      </c>
      <c r="E84" s="10">
        <v>3119.22</v>
      </c>
      <c r="F84" s="10">
        <v>1114.8</v>
      </c>
      <c r="G84" s="11">
        <v>10677.839999999998</v>
      </c>
      <c r="H84" s="6">
        <v>0</v>
      </c>
      <c r="I84"/>
    </row>
    <row r="85" spans="1:9" s="1" customFormat="1" x14ac:dyDescent="0.25">
      <c r="A85" s="7"/>
      <c r="B85" s="8" t="s">
        <v>96</v>
      </c>
      <c r="C85" s="10">
        <v>0</v>
      </c>
      <c r="D85" s="10">
        <v>821.78</v>
      </c>
      <c r="E85" s="10">
        <v>2308.3000000000002</v>
      </c>
      <c r="F85" s="10">
        <v>6452.2099999999991</v>
      </c>
      <c r="G85" s="11">
        <v>9582.2899999999991</v>
      </c>
      <c r="H85" s="4">
        <v>1099</v>
      </c>
      <c r="I85"/>
    </row>
    <row r="86" spans="1:9" s="1" customFormat="1" x14ac:dyDescent="0.25">
      <c r="A86" s="7"/>
      <c r="B86" s="8" t="s">
        <v>97</v>
      </c>
      <c r="C86" s="10">
        <v>0</v>
      </c>
      <c r="D86" s="10">
        <v>0</v>
      </c>
      <c r="E86" s="10">
        <v>671.3</v>
      </c>
      <c r="F86" s="10">
        <v>0</v>
      </c>
      <c r="G86" s="11">
        <v>671.3</v>
      </c>
      <c r="H86" s="6">
        <v>0</v>
      </c>
      <c r="I86"/>
    </row>
    <row r="87" spans="1:9" s="1" customFormat="1" x14ac:dyDescent="0.25">
      <c r="A87" s="7"/>
      <c r="B87" s="8" t="s">
        <v>98</v>
      </c>
      <c r="C87" s="10">
        <v>6443.82</v>
      </c>
      <c r="D87" s="10">
        <v>460.87</v>
      </c>
      <c r="E87" s="10">
        <v>3941.51</v>
      </c>
      <c r="F87" s="10">
        <v>3610.91</v>
      </c>
      <c r="G87" s="11">
        <v>14457.11</v>
      </c>
      <c r="H87" s="6">
        <v>0</v>
      </c>
      <c r="I87"/>
    </row>
    <row r="88" spans="1:9" s="1" customFormat="1" x14ac:dyDescent="0.25">
      <c r="A88" s="7"/>
      <c r="B88" s="8" t="s">
        <v>99</v>
      </c>
      <c r="C88" s="10">
        <v>0</v>
      </c>
      <c r="D88" s="10">
        <v>0</v>
      </c>
      <c r="E88" s="10">
        <v>2445.65</v>
      </c>
      <c r="F88" s="10">
        <v>0</v>
      </c>
      <c r="G88" s="11">
        <v>2445.65</v>
      </c>
      <c r="H88" s="6">
        <v>0</v>
      </c>
      <c r="I88"/>
    </row>
    <row r="89" spans="1:9" s="1" customFormat="1" x14ac:dyDescent="0.25">
      <c r="A89" s="7"/>
      <c r="B89" s="8" t="s">
        <v>100</v>
      </c>
      <c r="C89" s="10">
        <v>6443.82</v>
      </c>
      <c r="D89" s="10">
        <v>546.35</v>
      </c>
      <c r="E89" s="10">
        <v>5277.17</v>
      </c>
      <c r="F89" s="10">
        <v>6255.15</v>
      </c>
      <c r="G89" s="11">
        <v>18522.489999999998</v>
      </c>
      <c r="H89" s="6">
        <v>0</v>
      </c>
      <c r="I89"/>
    </row>
    <row r="90" spans="1:9" s="1" customFormat="1" x14ac:dyDescent="0.25">
      <c r="A90" s="7"/>
      <c r="B90" s="8" t="s">
        <v>101</v>
      </c>
      <c r="C90" s="10">
        <v>0</v>
      </c>
      <c r="D90" s="10">
        <v>136.82</v>
      </c>
      <c r="E90" s="10">
        <v>677.02</v>
      </c>
      <c r="F90" s="10">
        <v>2193.14</v>
      </c>
      <c r="G90" s="11">
        <v>3006.9799999999996</v>
      </c>
      <c r="H90" s="6">
        <v>0</v>
      </c>
      <c r="I90"/>
    </row>
    <row r="91" spans="1:9" s="1" customFormat="1" x14ac:dyDescent="0.25">
      <c r="A91" s="7"/>
      <c r="B91" s="8" t="s">
        <v>102</v>
      </c>
      <c r="C91" s="10">
        <v>0</v>
      </c>
      <c r="D91" s="10">
        <v>0</v>
      </c>
      <c r="E91" s="10">
        <v>0</v>
      </c>
      <c r="F91" s="10">
        <v>0</v>
      </c>
      <c r="G91" s="11">
        <v>0</v>
      </c>
      <c r="H91" s="6">
        <v>0</v>
      </c>
      <c r="I91"/>
    </row>
    <row r="92" spans="1:9" s="1" customFormat="1" x14ac:dyDescent="0.25">
      <c r="A92" s="7"/>
      <c r="B92" s="8" t="s">
        <v>103</v>
      </c>
      <c r="C92" s="10">
        <v>0</v>
      </c>
      <c r="D92" s="10">
        <v>0</v>
      </c>
      <c r="E92" s="10">
        <v>0</v>
      </c>
      <c r="F92" s="10">
        <v>0</v>
      </c>
      <c r="G92" s="11">
        <v>0</v>
      </c>
      <c r="H92" s="6">
        <v>0</v>
      </c>
      <c r="I92"/>
    </row>
    <row r="93" spans="1:9" s="1" customFormat="1" x14ac:dyDescent="0.25">
      <c r="A93" s="7"/>
      <c r="B93" s="8" t="s">
        <v>104</v>
      </c>
      <c r="C93" s="10">
        <v>330.44</v>
      </c>
      <c r="D93" s="10">
        <v>0</v>
      </c>
      <c r="E93" s="10">
        <v>2171.62</v>
      </c>
      <c r="F93" s="10">
        <v>466.44</v>
      </c>
      <c r="G93" s="11">
        <v>2968.5</v>
      </c>
      <c r="H93" s="6">
        <v>0</v>
      </c>
      <c r="I93"/>
    </row>
    <row r="94" spans="1:9" s="1" customFormat="1" x14ac:dyDescent="0.25">
      <c r="A94" s="7"/>
      <c r="B94" s="8" t="s">
        <v>105</v>
      </c>
      <c r="C94" s="10">
        <v>6443.82</v>
      </c>
      <c r="D94" s="10">
        <v>513.74</v>
      </c>
      <c r="E94" s="10">
        <v>7906.5800000000008</v>
      </c>
      <c r="F94" s="10">
        <v>6219.8899999999994</v>
      </c>
      <c r="G94" s="11">
        <v>21084.03</v>
      </c>
      <c r="H94" s="6">
        <v>0</v>
      </c>
      <c r="I94"/>
    </row>
    <row r="95" spans="1:9" s="1" customFormat="1" x14ac:dyDescent="0.25">
      <c r="A95" s="7"/>
      <c r="B95" s="8" t="s">
        <v>106</v>
      </c>
      <c r="C95" s="10">
        <v>4510.68</v>
      </c>
      <c r="D95" s="10">
        <v>1224.46</v>
      </c>
      <c r="E95" s="10">
        <v>3725.3600000000006</v>
      </c>
      <c r="F95" s="10">
        <v>6284.1</v>
      </c>
      <c r="G95" s="11">
        <v>15744.6</v>
      </c>
      <c r="H95" s="6">
        <v>0</v>
      </c>
      <c r="I95"/>
    </row>
    <row r="96" spans="1:9" s="1" customFormat="1" x14ac:dyDescent="0.25">
      <c r="A96" s="7"/>
      <c r="B96" s="8" t="s">
        <v>107</v>
      </c>
      <c r="C96" s="10">
        <v>6443.82</v>
      </c>
      <c r="D96" s="10">
        <v>505.09</v>
      </c>
      <c r="E96" s="10">
        <v>3965.75</v>
      </c>
      <c r="F96" s="10">
        <v>5045.68</v>
      </c>
      <c r="G96" s="11">
        <v>15960.34</v>
      </c>
      <c r="H96" s="4">
        <v>13057</v>
      </c>
      <c r="I96"/>
    </row>
    <row r="97" spans="1:9" s="1" customFormat="1" x14ac:dyDescent="0.25">
      <c r="A97" s="7"/>
      <c r="B97" s="8" t="s">
        <v>109</v>
      </c>
      <c r="C97" s="10">
        <v>6443.82</v>
      </c>
      <c r="D97" s="10">
        <v>0</v>
      </c>
      <c r="E97" s="10">
        <v>11649.31</v>
      </c>
      <c r="F97" s="10">
        <v>1266.5</v>
      </c>
      <c r="G97" s="11">
        <v>19359.629999999997</v>
      </c>
      <c r="H97" s="6">
        <v>0</v>
      </c>
      <c r="I97"/>
    </row>
    <row r="98" spans="1:9" s="1" customFormat="1" x14ac:dyDescent="0.25">
      <c r="A98" s="7"/>
      <c r="B98" s="8" t="s">
        <v>108</v>
      </c>
      <c r="C98" s="10">
        <v>3304.34</v>
      </c>
      <c r="D98" s="10">
        <v>0</v>
      </c>
      <c r="E98" s="10">
        <v>5080.5</v>
      </c>
      <c r="F98" s="10">
        <v>2610.94</v>
      </c>
      <c r="G98" s="11">
        <v>10995.78</v>
      </c>
      <c r="H98" s="6">
        <v>0</v>
      </c>
      <c r="I98"/>
    </row>
    <row r="99" spans="1:9" s="1" customFormat="1" x14ac:dyDescent="0.25">
      <c r="A99" s="7"/>
      <c r="B99" s="8" t="s">
        <v>110</v>
      </c>
      <c r="C99" s="10">
        <v>0</v>
      </c>
      <c r="D99" s="10">
        <v>0</v>
      </c>
      <c r="E99" s="10">
        <v>318.57</v>
      </c>
      <c r="F99" s="10">
        <v>0</v>
      </c>
      <c r="G99" s="11">
        <v>318.57</v>
      </c>
      <c r="H99" s="6">
        <v>0</v>
      </c>
      <c r="I99"/>
    </row>
    <row r="100" spans="1:9" s="1" customFormat="1" x14ac:dyDescent="0.25">
      <c r="A100" s="7"/>
      <c r="B100" s="8" t="s">
        <v>111</v>
      </c>
      <c r="C100" s="10">
        <v>0</v>
      </c>
      <c r="D100" s="10">
        <v>0</v>
      </c>
      <c r="E100" s="10">
        <v>0</v>
      </c>
      <c r="F100" s="10">
        <v>0</v>
      </c>
      <c r="G100" s="11">
        <v>0</v>
      </c>
      <c r="H100" s="6">
        <v>0</v>
      </c>
      <c r="I100"/>
    </row>
    <row r="101" spans="1:9" s="1" customFormat="1" x14ac:dyDescent="0.25">
      <c r="A101" s="7"/>
      <c r="B101" s="8" t="s">
        <v>112</v>
      </c>
      <c r="C101" s="10">
        <v>6443.82</v>
      </c>
      <c r="D101" s="10">
        <v>300</v>
      </c>
      <c r="E101" s="10">
        <v>2659.62</v>
      </c>
      <c r="F101" s="10">
        <v>6620.81</v>
      </c>
      <c r="G101" s="11">
        <v>16024.25</v>
      </c>
      <c r="H101" s="6">
        <v>0</v>
      </c>
      <c r="I101"/>
    </row>
    <row r="102" spans="1:9" s="1" customFormat="1" x14ac:dyDescent="0.25">
      <c r="A102" s="7"/>
      <c r="B102" s="8" t="s">
        <v>113</v>
      </c>
      <c r="C102" s="10">
        <v>0</v>
      </c>
      <c r="D102" s="10">
        <v>152.16999999999999</v>
      </c>
      <c r="E102" s="10">
        <v>611.66</v>
      </c>
      <c r="F102" s="10">
        <v>2240.1</v>
      </c>
      <c r="G102" s="11">
        <v>3003.93</v>
      </c>
      <c r="H102" s="6">
        <v>0</v>
      </c>
      <c r="I102"/>
    </row>
    <row r="103" spans="1:9" s="1" customFormat="1" x14ac:dyDescent="0.25">
      <c r="A103" s="7"/>
      <c r="B103" s="8" t="s">
        <v>114</v>
      </c>
      <c r="C103" s="10">
        <v>4510.68</v>
      </c>
      <c r="D103" s="10">
        <v>565.41000000000008</v>
      </c>
      <c r="E103" s="10">
        <v>6008.4699999999993</v>
      </c>
      <c r="F103" s="10">
        <v>4036.37</v>
      </c>
      <c r="G103" s="11">
        <v>15120.93</v>
      </c>
      <c r="H103" s="6">
        <v>0</v>
      </c>
      <c r="I103"/>
    </row>
    <row r="104" spans="1:9" s="1" customFormat="1" x14ac:dyDescent="0.25">
      <c r="A104" s="7"/>
      <c r="B104" s="8" t="s">
        <v>115</v>
      </c>
      <c r="C104" s="10">
        <v>6443.82</v>
      </c>
      <c r="D104" s="10">
        <v>612.35</v>
      </c>
      <c r="E104" s="10">
        <v>4902.95</v>
      </c>
      <c r="F104" s="10">
        <v>1802.93</v>
      </c>
      <c r="G104" s="11">
        <v>13762.05</v>
      </c>
      <c r="H104" s="4">
        <v>1400</v>
      </c>
      <c r="I104"/>
    </row>
    <row r="105" spans="1:9" s="1" customFormat="1" x14ac:dyDescent="0.25">
      <c r="A105" s="7"/>
      <c r="B105" s="8" t="s">
        <v>116</v>
      </c>
      <c r="C105" s="10">
        <v>0</v>
      </c>
      <c r="D105" s="10">
        <v>0</v>
      </c>
      <c r="E105" s="10">
        <v>1074.26</v>
      </c>
      <c r="F105" s="10">
        <v>198.9</v>
      </c>
      <c r="G105" s="11">
        <v>1273.1600000000001</v>
      </c>
      <c r="H105" s="6">
        <v>0</v>
      </c>
      <c r="I105"/>
    </row>
    <row r="106" spans="1:9" s="1" customFormat="1" x14ac:dyDescent="0.25">
      <c r="A106" s="7"/>
      <c r="B106" s="8" t="s">
        <v>117</v>
      </c>
      <c r="C106" s="10">
        <v>6443.82</v>
      </c>
      <c r="D106" s="10">
        <v>0</v>
      </c>
      <c r="E106" s="10">
        <v>4274.91</v>
      </c>
      <c r="F106" s="10">
        <v>4189.6899999999996</v>
      </c>
      <c r="G106" s="11">
        <v>14908.419999999998</v>
      </c>
      <c r="H106" s="6">
        <v>0</v>
      </c>
      <c r="I106"/>
    </row>
    <row r="107" spans="1:9" s="1" customFormat="1" x14ac:dyDescent="0.25">
      <c r="A107" s="7"/>
      <c r="B107" s="8" t="s">
        <v>118</v>
      </c>
      <c r="C107" s="10">
        <v>0</v>
      </c>
      <c r="D107" s="10">
        <v>0</v>
      </c>
      <c r="E107" s="10">
        <v>551.03</v>
      </c>
      <c r="F107" s="10">
        <v>0</v>
      </c>
      <c r="G107" s="11">
        <v>551.03</v>
      </c>
      <c r="H107" s="6">
        <v>0</v>
      </c>
      <c r="I107"/>
    </row>
    <row r="108" spans="1:9" s="1" customFormat="1" x14ac:dyDescent="0.25">
      <c r="A108" s="7"/>
      <c r="B108" s="8" t="s">
        <v>119</v>
      </c>
      <c r="C108" s="10">
        <v>6443.82</v>
      </c>
      <c r="D108" s="10">
        <v>0</v>
      </c>
      <c r="E108" s="10">
        <v>3769.9300000000003</v>
      </c>
      <c r="F108" s="10">
        <v>1205.56</v>
      </c>
      <c r="G108" s="11">
        <v>11419.31</v>
      </c>
      <c r="H108" s="4">
        <v>4602</v>
      </c>
      <c r="I108"/>
    </row>
    <row r="109" spans="1:9" s="1" customFormat="1" x14ac:dyDescent="0.25">
      <c r="A109" s="7"/>
      <c r="B109" s="8" t="s">
        <v>120</v>
      </c>
      <c r="C109" s="10">
        <v>6443.82</v>
      </c>
      <c r="D109" s="10">
        <v>1378.8</v>
      </c>
      <c r="E109" s="10">
        <v>4931.16</v>
      </c>
      <c r="F109" s="10">
        <v>5331.7699999999995</v>
      </c>
      <c r="G109" s="11">
        <v>18085.55</v>
      </c>
      <c r="H109" s="4">
        <v>1534</v>
      </c>
      <c r="I109"/>
    </row>
    <row r="110" spans="1:9" s="1" customFormat="1" x14ac:dyDescent="0.25">
      <c r="A110" s="7"/>
      <c r="B110" s="8" t="s">
        <v>121</v>
      </c>
      <c r="C110" s="10">
        <v>6443.82</v>
      </c>
      <c r="D110" s="10">
        <v>1177.76</v>
      </c>
      <c r="E110" s="10">
        <v>3852.0199999999995</v>
      </c>
      <c r="F110" s="10">
        <v>6174.48</v>
      </c>
      <c r="G110" s="11">
        <v>17648.079999999998</v>
      </c>
      <c r="H110" s="4">
        <v>12239</v>
      </c>
      <c r="I110"/>
    </row>
    <row r="111" spans="1:9" s="1" customFormat="1" x14ac:dyDescent="0.25">
      <c r="A111" s="7"/>
      <c r="B111" s="8" t="s">
        <v>122</v>
      </c>
      <c r="C111" s="10">
        <v>4510.68</v>
      </c>
      <c r="D111" s="10">
        <v>305.56</v>
      </c>
      <c r="E111" s="10">
        <v>3358.73</v>
      </c>
      <c r="F111" s="10">
        <v>6319.18</v>
      </c>
      <c r="G111" s="11">
        <v>14494.150000000001</v>
      </c>
      <c r="H111" s="6">
        <v>0</v>
      </c>
      <c r="I111"/>
    </row>
    <row r="112" spans="1:9" s="1" customFormat="1" x14ac:dyDescent="0.25">
      <c r="A112" s="7"/>
      <c r="B112" s="8" t="s">
        <v>123</v>
      </c>
      <c r="C112" s="10">
        <v>0</v>
      </c>
      <c r="D112" s="10">
        <v>152.16999999999999</v>
      </c>
      <c r="E112" s="10">
        <v>1467.81</v>
      </c>
      <c r="F112" s="10">
        <v>2459.08</v>
      </c>
      <c r="G112" s="11">
        <v>4079.06</v>
      </c>
      <c r="H112" s="6">
        <v>0</v>
      </c>
      <c r="I112"/>
    </row>
    <row r="113" spans="1:9" s="1" customFormat="1" x14ac:dyDescent="0.25">
      <c r="A113" s="7"/>
      <c r="B113" s="8" t="s">
        <v>124</v>
      </c>
      <c r="C113" s="10">
        <v>6443.82</v>
      </c>
      <c r="D113" s="10">
        <v>1133.5999999999999</v>
      </c>
      <c r="E113" s="10">
        <v>13215.92</v>
      </c>
      <c r="F113" s="10">
        <v>7017.7900000000009</v>
      </c>
      <c r="G113" s="11">
        <v>27811.13</v>
      </c>
      <c r="H113" s="6">
        <v>0</v>
      </c>
      <c r="I113"/>
    </row>
    <row r="114" spans="1:9" s="1" customFormat="1" x14ac:dyDescent="0.25">
      <c r="A114" s="7"/>
      <c r="B114" s="8" t="s">
        <v>125</v>
      </c>
      <c r="C114" s="10">
        <v>0</v>
      </c>
      <c r="D114" s="10">
        <v>0</v>
      </c>
      <c r="E114" s="10">
        <v>715.34999999999991</v>
      </c>
      <c r="F114" s="10">
        <v>0</v>
      </c>
      <c r="G114" s="11">
        <v>715.34999999999991</v>
      </c>
      <c r="H114" s="6">
        <v>0</v>
      </c>
      <c r="I114"/>
    </row>
    <row r="115" spans="1:9" s="1" customFormat="1" x14ac:dyDescent="0.25">
      <c r="A115" s="7"/>
      <c r="B115" s="8" t="s">
        <v>126</v>
      </c>
      <c r="C115" s="10">
        <v>4510.68</v>
      </c>
      <c r="D115" s="10">
        <v>309.43</v>
      </c>
      <c r="E115" s="10">
        <v>5040.47</v>
      </c>
      <c r="F115" s="10">
        <v>8940.24</v>
      </c>
      <c r="G115" s="11">
        <v>18800.82</v>
      </c>
      <c r="H115" s="6">
        <v>0</v>
      </c>
      <c r="I115"/>
    </row>
    <row r="116" spans="1:9" s="1" customFormat="1" x14ac:dyDescent="0.25">
      <c r="A116" s="7"/>
      <c r="B116" s="8" t="s">
        <v>127</v>
      </c>
      <c r="C116" s="10">
        <v>0</v>
      </c>
      <c r="D116" s="10">
        <v>430.42999999999995</v>
      </c>
      <c r="E116" s="10">
        <v>3835.77</v>
      </c>
      <c r="F116" s="10">
        <v>4340.96</v>
      </c>
      <c r="G116" s="11">
        <v>8607.16</v>
      </c>
      <c r="H116" s="6">
        <v>0</v>
      </c>
      <c r="I116"/>
    </row>
    <row r="117" spans="1:9" s="1" customFormat="1" x14ac:dyDescent="0.25">
      <c r="A117" s="7"/>
      <c r="B117" s="8" t="s">
        <v>128</v>
      </c>
      <c r="C117" s="10">
        <v>0</v>
      </c>
      <c r="D117" s="10">
        <v>0</v>
      </c>
      <c r="E117" s="10">
        <v>1312.69</v>
      </c>
      <c r="F117" s="10">
        <v>0</v>
      </c>
      <c r="G117" s="11">
        <v>1312.69</v>
      </c>
      <c r="H117" s="6">
        <v>0</v>
      </c>
      <c r="I117"/>
    </row>
    <row r="118" spans="1:9" s="1" customFormat="1" x14ac:dyDescent="0.25">
      <c r="A118" s="7"/>
      <c r="B118" s="8" t="s">
        <v>129</v>
      </c>
      <c r="C118" s="10">
        <v>0</v>
      </c>
      <c r="D118" s="10">
        <v>0</v>
      </c>
      <c r="E118" s="10">
        <v>1470.07</v>
      </c>
      <c r="F118" s="10">
        <v>0</v>
      </c>
      <c r="G118" s="11">
        <v>1470.07</v>
      </c>
      <c r="H118" s="6">
        <v>0</v>
      </c>
      <c r="I118"/>
    </row>
    <row r="119" spans="1:9" s="1" customFormat="1" x14ac:dyDescent="0.25">
      <c r="A119" s="7"/>
      <c r="B119" s="8" t="s">
        <v>130</v>
      </c>
      <c r="C119" s="10">
        <v>0</v>
      </c>
      <c r="D119" s="10">
        <v>0</v>
      </c>
      <c r="E119" s="10">
        <v>0</v>
      </c>
      <c r="F119" s="10">
        <v>0</v>
      </c>
      <c r="G119" s="11">
        <v>0</v>
      </c>
      <c r="H119" s="6">
        <v>0</v>
      </c>
      <c r="I119"/>
    </row>
    <row r="120" spans="1:9" s="1" customFormat="1" x14ac:dyDescent="0.25">
      <c r="A120" s="7"/>
      <c r="B120" s="8" t="s">
        <v>131</v>
      </c>
      <c r="C120" s="10">
        <v>6443.82</v>
      </c>
      <c r="D120" s="10">
        <v>0</v>
      </c>
      <c r="E120" s="10">
        <v>3129.11</v>
      </c>
      <c r="F120" s="10">
        <v>6989.84</v>
      </c>
      <c r="G120" s="11">
        <v>16562.77</v>
      </c>
      <c r="H120" s="6">
        <v>0</v>
      </c>
      <c r="I120"/>
    </row>
    <row r="121" spans="1:9" s="1" customFormat="1" x14ac:dyDescent="0.25">
      <c r="A121" s="7"/>
      <c r="B121" s="8" t="s">
        <v>132</v>
      </c>
      <c r="C121" s="10">
        <v>0</v>
      </c>
      <c r="D121" s="10">
        <v>0</v>
      </c>
      <c r="E121" s="10">
        <v>2660.52</v>
      </c>
      <c r="F121" s="10">
        <v>0</v>
      </c>
      <c r="G121" s="11">
        <v>2660.52</v>
      </c>
      <c r="H121" s="6">
        <v>0</v>
      </c>
      <c r="I121"/>
    </row>
    <row r="122" spans="1:9" s="1" customFormat="1" x14ac:dyDescent="0.25">
      <c r="A122" s="7"/>
      <c r="B122" s="8" t="s">
        <v>133</v>
      </c>
      <c r="C122" s="10">
        <v>991.30000000000007</v>
      </c>
      <c r="D122" s="10">
        <v>163.46</v>
      </c>
      <c r="E122" s="10">
        <v>4830.24</v>
      </c>
      <c r="F122" s="10">
        <v>5487.54</v>
      </c>
      <c r="G122" s="11">
        <v>11472.54</v>
      </c>
      <c r="H122" s="6">
        <v>0</v>
      </c>
      <c r="I122"/>
    </row>
    <row r="123" spans="1:9" s="1" customFormat="1" x14ac:dyDescent="0.25">
      <c r="A123" s="7"/>
      <c r="B123" s="8" t="s">
        <v>134</v>
      </c>
      <c r="C123" s="10">
        <v>6443.82</v>
      </c>
      <c r="D123" s="10">
        <v>221.91</v>
      </c>
      <c r="E123" s="10">
        <v>8164.96</v>
      </c>
      <c r="F123" s="10">
        <v>1406.8700000000001</v>
      </c>
      <c r="G123" s="11">
        <v>16237.56</v>
      </c>
      <c r="H123" s="6">
        <v>0</v>
      </c>
      <c r="I123"/>
    </row>
    <row r="124" spans="1:9" s="1" customFormat="1" x14ac:dyDescent="0.25">
      <c r="A124" s="7" t="s">
        <v>19</v>
      </c>
      <c r="B124" s="9"/>
      <c r="C124" s="11">
        <v>164517.68000000002</v>
      </c>
      <c r="D124" s="11">
        <v>14770.22</v>
      </c>
      <c r="E124" s="11">
        <v>182313</v>
      </c>
      <c r="F124" s="11">
        <v>155087.94999999995</v>
      </c>
      <c r="G124" s="11">
        <v>516688.85</v>
      </c>
      <c r="H124" s="5">
        <f>H110+H109+H108+H104+H96+H85+H81+H76+H72</f>
        <v>71981</v>
      </c>
      <c r="I124"/>
    </row>
    <row r="125" spans="1:9" s="1" customFormat="1" x14ac:dyDescent="0.25">
      <c r="A125" s="7"/>
      <c r="B125" s="9"/>
      <c r="C125" s="10"/>
      <c r="D125" s="10"/>
      <c r="E125" s="10"/>
      <c r="F125" s="10"/>
      <c r="G125" s="11"/>
      <c r="H125" s="4"/>
      <c r="I125"/>
    </row>
    <row r="126" spans="1:9" s="1" customFormat="1" x14ac:dyDescent="0.25">
      <c r="A126" s="7" t="s">
        <v>20</v>
      </c>
      <c r="B126" s="9" t="s">
        <v>135</v>
      </c>
      <c r="C126" s="10">
        <v>4626.08</v>
      </c>
      <c r="D126" s="10">
        <v>2593.88</v>
      </c>
      <c r="E126" s="10">
        <v>4946.63</v>
      </c>
      <c r="F126" s="10">
        <v>5423.52</v>
      </c>
      <c r="G126" s="11">
        <v>17590.11</v>
      </c>
      <c r="H126" s="6">
        <v>0</v>
      </c>
      <c r="I126"/>
    </row>
    <row r="127" spans="1:9" s="1" customFormat="1" x14ac:dyDescent="0.25">
      <c r="A127" s="7"/>
      <c r="B127" s="9" t="s">
        <v>136</v>
      </c>
      <c r="C127" s="10">
        <v>6443.82</v>
      </c>
      <c r="D127" s="10">
        <v>230.51999999999998</v>
      </c>
      <c r="E127" s="10">
        <v>4970.76</v>
      </c>
      <c r="F127" s="10">
        <v>7841.67</v>
      </c>
      <c r="G127" s="11">
        <v>19486.77</v>
      </c>
      <c r="H127" s="6">
        <v>0</v>
      </c>
      <c r="I127"/>
    </row>
    <row r="128" spans="1:9" s="1" customFormat="1" x14ac:dyDescent="0.25">
      <c r="A128" s="7"/>
      <c r="B128" s="9" t="s">
        <v>137</v>
      </c>
      <c r="C128" s="10">
        <v>2912.1000000000004</v>
      </c>
      <c r="D128" s="10">
        <v>1375.99</v>
      </c>
      <c r="E128" s="10">
        <v>6519.3700000000008</v>
      </c>
      <c r="F128" s="10">
        <v>2167.88</v>
      </c>
      <c r="G128" s="11">
        <v>12975.34</v>
      </c>
      <c r="H128" s="6">
        <v>0</v>
      </c>
      <c r="I128"/>
    </row>
    <row r="129" spans="1:9" s="1" customFormat="1" x14ac:dyDescent="0.25">
      <c r="A129" s="7"/>
      <c r="B129" s="9" t="s">
        <v>138</v>
      </c>
      <c r="C129" s="10">
        <v>6113.38</v>
      </c>
      <c r="D129" s="10">
        <v>601.29999999999995</v>
      </c>
      <c r="E129" s="10">
        <v>1574.79</v>
      </c>
      <c r="F129" s="10">
        <v>2457.21</v>
      </c>
      <c r="G129" s="11">
        <v>10746.68</v>
      </c>
      <c r="H129" s="6">
        <v>0</v>
      </c>
      <c r="I129"/>
    </row>
    <row r="130" spans="1:9" s="1" customFormat="1" x14ac:dyDescent="0.25">
      <c r="A130" s="7"/>
      <c r="B130" s="9" t="s">
        <v>139</v>
      </c>
      <c r="C130" s="10">
        <v>4025.2799999999997</v>
      </c>
      <c r="D130" s="10">
        <v>195.22000000000003</v>
      </c>
      <c r="E130" s="10">
        <v>4854.68</v>
      </c>
      <c r="F130" s="10">
        <v>6462.9400000000005</v>
      </c>
      <c r="G130" s="11">
        <v>15538.12</v>
      </c>
      <c r="H130" s="4">
        <v>11763</v>
      </c>
      <c r="I130"/>
    </row>
    <row r="131" spans="1:9" s="1" customFormat="1" x14ac:dyDescent="0.25">
      <c r="A131" s="7"/>
      <c r="B131" s="9" t="s">
        <v>140</v>
      </c>
      <c r="C131" s="10">
        <v>4510.68</v>
      </c>
      <c r="D131" s="10">
        <v>1148.81</v>
      </c>
      <c r="E131" s="10">
        <v>8749.69</v>
      </c>
      <c r="F131" s="10">
        <v>4723.99</v>
      </c>
      <c r="G131" s="11">
        <v>19133.169999999998</v>
      </c>
      <c r="H131" s="6">
        <v>0</v>
      </c>
      <c r="I131"/>
    </row>
    <row r="132" spans="1:9" s="1" customFormat="1" x14ac:dyDescent="0.25">
      <c r="A132" s="7"/>
      <c r="B132" s="9" t="s">
        <v>141</v>
      </c>
      <c r="C132" s="10">
        <v>6443.82</v>
      </c>
      <c r="D132" s="10">
        <v>0</v>
      </c>
      <c r="E132" s="10">
        <v>3894</v>
      </c>
      <c r="F132" s="10">
        <v>1822.17</v>
      </c>
      <c r="G132" s="11">
        <v>12159.99</v>
      </c>
      <c r="H132" s="6">
        <v>0</v>
      </c>
      <c r="I132"/>
    </row>
    <row r="133" spans="1:9" s="1" customFormat="1" x14ac:dyDescent="0.25">
      <c r="A133" s="7"/>
      <c r="B133" s="9" t="s">
        <v>142</v>
      </c>
      <c r="C133" s="10">
        <v>6443.82</v>
      </c>
      <c r="D133" s="10">
        <v>895.65</v>
      </c>
      <c r="E133" s="10">
        <v>6690.4800000000005</v>
      </c>
      <c r="F133" s="10">
        <v>3746.0699999999997</v>
      </c>
      <c r="G133" s="11">
        <v>17776.02</v>
      </c>
      <c r="H133" s="6">
        <v>0</v>
      </c>
      <c r="I133"/>
    </row>
    <row r="134" spans="1:9" s="1" customFormat="1" x14ac:dyDescent="0.25">
      <c r="A134" s="7"/>
      <c r="B134" s="9" t="s">
        <v>143</v>
      </c>
      <c r="C134" s="10">
        <v>6443.82</v>
      </c>
      <c r="D134" s="10">
        <v>587.13</v>
      </c>
      <c r="E134" s="10">
        <v>6186.2999999999993</v>
      </c>
      <c r="F134" s="10">
        <v>8263.57</v>
      </c>
      <c r="G134" s="11">
        <v>21480.82</v>
      </c>
      <c r="H134" s="6">
        <v>0</v>
      </c>
      <c r="I134"/>
    </row>
    <row r="135" spans="1:9" s="1" customFormat="1" x14ac:dyDescent="0.25">
      <c r="A135" s="7"/>
      <c r="B135" s="9" t="s">
        <v>144</v>
      </c>
      <c r="C135" s="10">
        <v>6443.82</v>
      </c>
      <c r="D135" s="10">
        <v>330.43</v>
      </c>
      <c r="E135" s="10">
        <v>6506.3600000000006</v>
      </c>
      <c r="F135" s="10">
        <v>3828.2299999999996</v>
      </c>
      <c r="G135" s="11">
        <v>17108.84</v>
      </c>
      <c r="H135" s="6">
        <v>0</v>
      </c>
      <c r="I135"/>
    </row>
    <row r="136" spans="1:9" s="1" customFormat="1" x14ac:dyDescent="0.25">
      <c r="A136" s="7"/>
      <c r="B136" s="9" t="s">
        <v>145</v>
      </c>
      <c r="C136" s="10">
        <v>6443.82</v>
      </c>
      <c r="D136" s="10">
        <v>0</v>
      </c>
      <c r="E136" s="10">
        <v>2192.84</v>
      </c>
      <c r="F136" s="10">
        <v>2268.83</v>
      </c>
      <c r="G136" s="11">
        <v>10905.49</v>
      </c>
      <c r="H136" s="6">
        <v>0</v>
      </c>
      <c r="I136"/>
    </row>
    <row r="137" spans="1:9" s="1" customFormat="1" x14ac:dyDescent="0.25">
      <c r="A137" s="7"/>
      <c r="B137" s="9" t="s">
        <v>146</v>
      </c>
      <c r="C137" s="10">
        <v>4731.1100000000006</v>
      </c>
      <c r="D137" s="10">
        <v>1010.67</v>
      </c>
      <c r="E137" s="10">
        <v>7550.5499999999993</v>
      </c>
      <c r="F137" s="10">
        <v>5193.18</v>
      </c>
      <c r="G137" s="11">
        <v>18485.510000000002</v>
      </c>
      <c r="H137" s="6">
        <v>0</v>
      </c>
      <c r="I137"/>
    </row>
    <row r="138" spans="1:9" s="1" customFormat="1" x14ac:dyDescent="0.25">
      <c r="A138" s="7" t="s">
        <v>21</v>
      </c>
      <c r="B138" s="9"/>
      <c r="C138" s="11">
        <v>65581.55</v>
      </c>
      <c r="D138" s="11">
        <v>8969.6</v>
      </c>
      <c r="E138" s="11">
        <v>64636.450000000012</v>
      </c>
      <c r="F138" s="11">
        <v>54199.26</v>
      </c>
      <c r="G138" s="11">
        <v>193386.86000000002</v>
      </c>
      <c r="H138" s="5">
        <v>11763</v>
      </c>
      <c r="I138"/>
    </row>
    <row r="139" spans="1:9" s="1" customFormat="1" x14ac:dyDescent="0.25">
      <c r="A139" s="7"/>
      <c r="B139" s="9"/>
      <c r="C139" s="10"/>
      <c r="D139" s="10"/>
      <c r="E139" s="10"/>
      <c r="F139" s="10"/>
      <c r="G139" s="11"/>
      <c r="H139" s="4"/>
      <c r="I139"/>
    </row>
    <row r="140" spans="1:9" s="1" customFormat="1" x14ac:dyDescent="0.25">
      <c r="A140" s="7" t="s">
        <v>22</v>
      </c>
      <c r="B140" s="8" t="s">
        <v>147</v>
      </c>
      <c r="C140" s="10">
        <v>0</v>
      </c>
      <c r="D140" s="10">
        <v>0</v>
      </c>
      <c r="E140" s="10">
        <v>0</v>
      </c>
      <c r="F140" s="10">
        <v>0</v>
      </c>
      <c r="G140" s="11">
        <v>0</v>
      </c>
      <c r="H140" s="6">
        <v>0</v>
      </c>
      <c r="I140"/>
    </row>
    <row r="141" spans="1:9" s="1" customFormat="1" x14ac:dyDescent="0.25">
      <c r="A141" s="7" t="s">
        <v>23</v>
      </c>
      <c r="B141" s="9"/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6">
        <v>0</v>
      </c>
      <c r="I141"/>
    </row>
    <row r="142" spans="1:9" s="1" customFormat="1" x14ac:dyDescent="0.25">
      <c r="A142" s="7"/>
      <c r="B142" s="9"/>
      <c r="C142" s="10"/>
      <c r="D142" s="10"/>
      <c r="E142" s="10"/>
      <c r="F142" s="10"/>
      <c r="G142" s="11"/>
      <c r="H142" s="4"/>
      <c r="I142"/>
    </row>
    <row r="143" spans="1:9" s="1" customFormat="1" x14ac:dyDescent="0.25">
      <c r="A143" s="7" t="s">
        <v>5</v>
      </c>
      <c r="B143" s="9"/>
      <c r="C143" s="11">
        <v>417536.0900000002</v>
      </c>
      <c r="D143" s="11">
        <v>78775.429999999993</v>
      </c>
      <c r="E143" s="11">
        <v>556563.34999999986</v>
      </c>
      <c r="F143" s="11">
        <v>423738.95</v>
      </c>
      <c r="G143" s="11">
        <v>1476613.8200000003</v>
      </c>
      <c r="H143" s="5">
        <f>H138+H124+H63+H59</f>
        <v>117796</v>
      </c>
      <c r="I143"/>
    </row>
  </sheetData>
  <mergeCells count="11">
    <mergeCell ref="A1:G1"/>
    <mergeCell ref="A3:A5"/>
    <mergeCell ref="B3:B5"/>
    <mergeCell ref="E3:F3"/>
    <mergeCell ref="C3:D3"/>
    <mergeCell ref="C4:C5"/>
    <mergeCell ref="D4:D5"/>
    <mergeCell ref="E4:E5"/>
    <mergeCell ref="F4:F5"/>
    <mergeCell ref="G3:G5"/>
    <mergeCell ref="H3:H5"/>
  </mergeCells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Kristina Beaufort</cp:lastModifiedBy>
  <dcterms:created xsi:type="dcterms:W3CDTF">2017-04-11T21:43:41Z</dcterms:created>
  <dcterms:modified xsi:type="dcterms:W3CDTF">2017-04-19T01:49:25Z</dcterms:modified>
</cp:coreProperties>
</file>