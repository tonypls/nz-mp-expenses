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be2898d3f0da4830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085"/>
  </bookViews>
  <sheets>
    <sheet name="All Parti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2" i="1" l="1"/>
  <c r="H141" i="1" l="1"/>
  <c r="H136" i="1"/>
  <c r="H57" i="1"/>
  <c r="H23" i="1"/>
</calcChain>
</file>

<file path=xl/sharedStrings.xml><?xml version="1.0" encoding="utf-8"?>
<sst xmlns="http://schemas.openxmlformats.org/spreadsheetml/2006/main" count="150" uniqueCount="150">
  <si>
    <t>Members Expense Disclosure - January to March 2016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</si>
  <si>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</si>
  <si>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</si>
  <si>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</si>
  <si>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</si>
  <si>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</si>
  <si>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</si>
  <si>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</si>
  <si>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</si>
  <si>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</si>
  <si>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Act</t>
  </si>
  <si>
    <t>Act Total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</si>
  <si>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</si>
  <si>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</si>
  <si>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</si>
  <si>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</si>
  <si>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</si>
  <si>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</si>
  <si>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</si>
  <si>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</si>
  <si>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</si>
  <si>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</si>
  <si>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</si>
  <si>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</si>
  <si>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>(1)</t>
  </si>
  <si>
    <t>Non-Wellington Accommodation and Surface Travel costs relate to the period prior to Hon Collins being a member of the Executive. They are disclosed in the current quarter due to the timing of transactions being processed.</t>
  </si>
  <si>
    <t>Inter Parliamentary - Office of the Clerk</t>
  </si>
  <si>
    <t>Subtotal  Parliamentary  Service</t>
  </si>
  <si>
    <t xml:space="preserve"> - </t>
  </si>
  <si>
    <t>Seymour, David</t>
  </si>
  <si>
    <t xml:space="preserve"> Browning, Steffan </t>
  </si>
  <si>
    <t xml:space="preserve"> Clendon, David </t>
  </si>
  <si>
    <t xml:space="preserve"> Delahunty, Catherine </t>
  </si>
  <si>
    <t xml:space="preserve"> Davidson, Marama </t>
  </si>
  <si>
    <t xml:space="preserve"> Genter, Julie-Anne </t>
  </si>
  <si>
    <t xml:space="preserve"> Graham, Kennedy </t>
  </si>
  <si>
    <t xml:space="preserve"> Hague, Kevin </t>
  </si>
  <si>
    <t xml:space="preserve"> Hughes, Gareth </t>
  </si>
  <si>
    <t xml:space="preserve"> Logie, Jan </t>
  </si>
  <si>
    <t xml:space="preserve"> Mathers, Mojo </t>
  </si>
  <si>
    <t xml:space="preserve"> Roche, Denise </t>
  </si>
  <si>
    <t xml:space="preserve"> Sage, Eugenie </t>
  </si>
  <si>
    <t xml:space="preserve"> Shaw, James </t>
  </si>
  <si>
    <t xml:space="preserve"> Tūrei, Metiria </t>
  </si>
  <si>
    <t xml:space="preserve"> Ardern, Jacinda </t>
  </si>
  <si>
    <t xml:space="preserve"> Clark, David </t>
  </si>
  <si>
    <t xml:space="preserve"> Cosgrove, Clayton </t>
  </si>
  <si>
    <t xml:space="preserve"> Cunliffe, David </t>
  </si>
  <si>
    <t xml:space="preserve"> Curran, Clare </t>
  </si>
  <si>
    <t xml:space="preserve"> Davis, Kelvin </t>
  </si>
  <si>
    <t xml:space="preserve"> Dyson, Ruth </t>
  </si>
  <si>
    <t xml:space="preserve"> Faafoi, Kris </t>
  </si>
  <si>
    <t xml:space="preserve"> Goff, Phil </t>
  </si>
  <si>
    <t xml:space="preserve"> Henare, Peeni </t>
  </si>
  <si>
    <t xml:space="preserve"> Hipkins, Chris </t>
  </si>
  <si>
    <t xml:space="preserve"> King, Annette </t>
  </si>
  <si>
    <t xml:space="preserve"> Lees-Galloway, Iain </t>
  </si>
  <si>
    <t xml:space="preserve"> Little, Andrew </t>
  </si>
  <si>
    <t xml:space="preserve"> Mahuta, Nanaia </t>
  </si>
  <si>
    <t xml:space="preserve"> Mallard, Trevor </t>
  </si>
  <si>
    <t xml:space="preserve"> Moroney, Sue </t>
  </si>
  <si>
    <t xml:space="preserve"> Nash, Stuart </t>
  </si>
  <si>
    <t xml:space="preserve"> O'Connor, Damien </t>
  </si>
  <si>
    <t xml:space="preserve"> Parker, David </t>
  </si>
  <si>
    <t xml:space="preserve"> Robertson, Grant </t>
  </si>
  <si>
    <t xml:space="preserve"> Rurawhe, Adrian </t>
  </si>
  <si>
    <t xml:space="preserve"> Sepuloni, Carmel </t>
  </si>
  <si>
    <t xml:space="preserve"> Shearer, David </t>
  </si>
  <si>
    <t xml:space="preserve"> Salesa, Jenny </t>
  </si>
  <si>
    <t xml:space="preserve"> Sio Su'a, William </t>
  </si>
  <si>
    <t xml:space="preserve"> Tirikatene, Rino </t>
  </si>
  <si>
    <t xml:space="preserve"> Twyford, Phil </t>
  </si>
  <si>
    <t xml:space="preserve"> Wall, Louisa </t>
  </si>
  <si>
    <t xml:space="preserve"> Whaitiri, Meka </t>
  </si>
  <si>
    <t xml:space="preserve"> Williams, Poto </t>
  </si>
  <si>
    <t xml:space="preserve"> Woods, Megan </t>
  </si>
  <si>
    <t xml:space="preserve"> Flavell, Te Ururoa </t>
  </si>
  <si>
    <t xml:space="preserve"> Fox, Marama </t>
  </si>
  <si>
    <t xml:space="preserve"> Adams, Amy </t>
  </si>
  <si>
    <t xml:space="preserve"> Bakshi, Kanwaljit Singh </t>
  </si>
  <si>
    <t xml:space="preserve"> Barclay, Todd </t>
  </si>
  <si>
    <t xml:space="preserve"> Barry, Maggie </t>
  </si>
  <si>
    <t xml:space="preserve"> Bayly, Andrew </t>
  </si>
  <si>
    <t xml:space="preserve"> Bennett, David </t>
  </si>
  <si>
    <t xml:space="preserve"> Bennett, Paula </t>
  </si>
  <si>
    <t xml:space="preserve"> Bishop, Chris </t>
  </si>
  <si>
    <t xml:space="preserve"> Borrows, Chester </t>
  </si>
  <si>
    <t xml:space="preserve"> Bridges, Simon </t>
  </si>
  <si>
    <t xml:space="preserve"> Brownlee, Gerry </t>
  </si>
  <si>
    <t xml:space="preserve"> Carter, David </t>
  </si>
  <si>
    <t xml:space="preserve"> Coleman, Jonathan </t>
  </si>
  <si>
    <t xml:space="preserve"> Collins, Judith (1)</t>
  </si>
  <si>
    <t xml:space="preserve"> Dean, Jacqui </t>
  </si>
  <si>
    <t xml:space="preserve"> Doocey, Matt </t>
  </si>
  <si>
    <t xml:space="preserve"> Dowie, Sarah </t>
  </si>
  <si>
    <t xml:space="preserve"> English, Bill </t>
  </si>
  <si>
    <t xml:space="preserve"> Finlayson, Chris </t>
  </si>
  <si>
    <t xml:space="preserve"> Foss, Craig </t>
  </si>
  <si>
    <t xml:space="preserve"> Foster-Bell, Paul </t>
  </si>
  <si>
    <t xml:space="preserve"> Goldsmith, Paul </t>
  </si>
  <si>
    <t xml:space="preserve"> Goodhew, Jo </t>
  </si>
  <si>
    <t xml:space="preserve"> Guy, Nathan </t>
  </si>
  <si>
    <t xml:space="preserve"> Hayes, Joanne </t>
  </si>
  <si>
    <t xml:space="preserve"> Hudson, Brett </t>
  </si>
  <si>
    <t xml:space="preserve"> Joyce, Steven </t>
  </si>
  <si>
    <t xml:space="preserve"> Kaye, Nikki </t>
  </si>
  <si>
    <t xml:space="preserve"> Key, John </t>
  </si>
  <si>
    <t xml:space="preserve"> Korako, Nuk</t>
  </si>
  <si>
    <t xml:space="preserve"> Kuriger, Barbara </t>
  </si>
  <si>
    <t xml:space="preserve"> Lee, Melissa </t>
  </si>
  <si>
    <t xml:space="preserve"> Lotu-liga, Peseta Sam </t>
  </si>
  <si>
    <t xml:space="preserve"> Macindoe, Tim </t>
  </si>
  <si>
    <t xml:space="preserve"> McClay, Todd </t>
  </si>
  <si>
    <t xml:space="preserve"> McCully, Murray </t>
  </si>
  <si>
    <t xml:space="preserve"> McKelvie, Ian </t>
  </si>
  <si>
    <t xml:space="preserve"> Mitchell, Mark </t>
  </si>
  <si>
    <t xml:space="preserve"> Muller, Todd </t>
  </si>
  <si>
    <t xml:space="preserve"> Naylor, Jono </t>
  </si>
  <si>
    <t xml:space="preserve"> Ngaro, Alfred </t>
  </si>
  <si>
    <t xml:space="preserve"> O'Connor, Simon </t>
  </si>
  <si>
    <t xml:space="preserve"> Parata, Hekia </t>
  </si>
  <si>
    <t xml:space="preserve"> Parmar, Parmjeet </t>
  </si>
  <si>
    <t xml:space="preserve"> Pugh, Maureen </t>
  </si>
  <si>
    <t xml:space="preserve"> Reti, Shane </t>
  </si>
  <si>
    <t xml:space="preserve"> Ross, Jami-Lee </t>
  </si>
  <si>
    <t xml:space="preserve"> Scott, Alastair </t>
  </si>
  <si>
    <t xml:space="preserve"> Smith, Stuart </t>
  </si>
  <si>
    <t xml:space="preserve"> Smith, Nick </t>
  </si>
  <si>
    <t xml:space="preserve"> Simpson, Scott </t>
  </si>
  <si>
    <t xml:space="preserve"> Tisch, Lindsay </t>
  </si>
  <si>
    <t xml:space="preserve"> Tolley, Anne </t>
  </si>
  <si>
    <t xml:space="preserve"> Upston, Louise </t>
  </si>
  <si>
    <t xml:space="preserve"> Wagner, Nicky </t>
  </si>
  <si>
    <t xml:space="preserve"> Williamson, Maurice </t>
  </si>
  <si>
    <t xml:space="preserve"> Woodhouse, Michael </t>
  </si>
  <si>
    <t xml:space="preserve"> Yang, Jian </t>
  </si>
  <si>
    <t xml:space="preserve"> Young, Jonathan </t>
  </si>
  <si>
    <t>Ball, Darroch</t>
  </si>
  <si>
    <t>Bindra, Mahesh</t>
  </si>
  <si>
    <t>Bond, Ria</t>
  </si>
  <si>
    <t>Mark, Ron</t>
  </si>
  <si>
    <t>Martin, Tracey</t>
  </si>
  <si>
    <t>Mitchell, Clayton</t>
  </si>
  <si>
    <t>O'Rourke, Denis</t>
  </si>
  <si>
    <t>Paraone, Pita</t>
  </si>
  <si>
    <t>Peters, Winston</t>
  </si>
  <si>
    <t>Prosser, Richard</t>
  </si>
  <si>
    <t>Stewart, Barbara</t>
  </si>
  <si>
    <t>Tabuteau, Fletcher</t>
  </si>
  <si>
    <t>Dunne, 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</si>
</sst>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Fill="1" applyBorder="1"/>
    <xf numFmtId="0" fontId="0" fillId="0" borderId="0" xfId="0" applyFill="1"/>
    <xf numFmtId="0" fontId="2" fillId="0" borderId="1" xfId="0" applyFont="1" applyFill="1" applyBorder="1"/>
    <xf numFmtId="0" fontId="2" fillId="0" borderId="3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164" fontId="0" fillId="0" borderId="3" xfId="1" applyNumberFormat="1" applyFont="1" applyFill="1" applyBorder="1"/>
    <xf numFmtId="164" fontId="0" fillId="0" borderId="5" xfId="1" applyNumberFormat="1" applyFont="1" applyFill="1" applyBorder="1"/>
    <xf numFmtId="0" fontId="2" fillId="0" borderId="7" xfId="0" applyFont="1" applyFill="1" applyBorder="1"/>
    <xf numFmtId="0" fontId="0" fillId="0" borderId="4" xfId="0" applyFill="1" applyBorder="1"/>
    <xf numFmtId="164" fontId="2" fillId="0" borderId="7" xfId="1" applyNumberFormat="1" applyFont="1" applyFill="1" applyBorder="1"/>
    <xf numFmtId="0" fontId="0" fillId="0" borderId="6" xfId="0" applyFill="1" applyBorder="1"/>
    <xf numFmtId="165" fontId="0" fillId="0" borderId="5" xfId="1" applyNumberFormat="1" applyFont="1" applyFill="1" applyBorder="1"/>
    <xf numFmtId="164" fontId="0" fillId="0" borderId="8" xfId="1" applyNumberFormat="1" applyFont="1" applyFill="1" applyBorder="1"/>
    <xf numFmtId="165" fontId="2" fillId="0" borderId="7" xfId="1" applyNumberFormat="1" applyFont="1" applyFill="1" applyBorder="1"/>
    <xf numFmtId="164" fontId="0" fillId="0" borderId="9" xfId="1" applyNumberFormat="1" applyFont="1" applyFill="1" applyBorder="1"/>
    <xf numFmtId="165" fontId="0" fillId="0" borderId="1" xfId="1" applyNumberFormat="1" applyFont="1" applyFill="1" applyBorder="1"/>
    <xf numFmtId="0" fontId="0" fillId="0" borderId="7" xfId="0" applyFill="1" applyBorder="1"/>
    <xf numFmtId="0" fontId="0" fillId="0" borderId="1" xfId="0" applyFill="1" applyBorder="1"/>
    <xf numFmtId="0" fontId="0" fillId="0" borderId="10" xfId="0" applyFill="1" applyBorder="1"/>
    <xf numFmtId="0" fontId="0" fillId="0" borderId="2" xfId="0" applyFill="1" applyBorder="1"/>
    <xf numFmtId="0" fontId="0" fillId="0" borderId="5" xfId="0" applyFill="1" applyBorder="1"/>
    <xf numFmtId="165" fontId="0" fillId="0" borderId="3" xfId="1" applyNumberFormat="1" applyFont="1" applyFill="1" applyBorder="1"/>
    <xf numFmtId="165" fontId="2" fillId="0" borderId="3" xfId="1" applyNumberFormat="1" applyFont="1" applyFill="1" applyBorder="1"/>
    <xf numFmtId="0" fontId="0" fillId="0" borderId="0" xfId="0" quotePrefix="1" applyFill="1" applyAlignment="1">
      <alignment horizontal="right" vertical="top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5" xfId="0" applyFont="1" applyFill="1" applyBorder="1"/>
    <xf numFmtId="164" fontId="1" fillId="0" borderId="5" xfId="1" applyNumberFormat="1" applyFont="1" applyFill="1" applyBorder="1"/>
    <xf numFmtId="165" fontId="1" fillId="0" borderId="5" xfId="1" applyNumberFormat="1" applyFont="1" applyFill="1" applyBorder="1"/>
    <xf numFmtId="165" fontId="1" fillId="0" borderId="1" xfId="1" applyNumberFormat="1" applyFont="1" applyFill="1" applyBorder="1"/>
    <xf numFmtId="165" fontId="1" fillId="0" borderId="3" xfId="1" applyNumberFormat="1" applyFont="1" applyFill="1" applyBorder="1"/>
    <xf numFmtId="3" fontId="0" fillId="0" borderId="5" xfId="0" applyNumberFormat="1" applyFill="1" applyBorder="1"/>
    <xf numFmtId="0" fontId="0" fillId="0" borderId="7" xfId="0" applyFill="1" applyBorder="1" applyAlignment="1">
      <alignment horizontal="right"/>
    </xf>
    <xf numFmtId="165" fontId="1" fillId="0" borderId="7" xfId="1" applyNumberFormat="1" applyFont="1" applyFill="1" applyBorder="1"/>
    <xf numFmtId="3" fontId="2" fillId="0" borderId="7" xfId="0" applyNumberFormat="1" applyFont="1" applyFill="1" applyBorder="1"/>
    <xf numFmtId="0" fontId="2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0" xfId="0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5"/>
  <sheetViews>
    <sheetView tabSelected="1" topLeftCell="A109" zoomScale="90" zoomScaleNormal="90" workbookViewId="0">
      <selection activeCell="C57" sqref="C57"/>
    </sheetView>
  </sheetViews>
  <sheetFormatPr defaultColWidth="9.140625" defaultRowHeight="15" x14ac:dyDescent="0.25"/>
  <cols>
    <col min="1" max="1" width="18.28515625" style="2" customWidth="1"/>
    <col min="2" max="2" width="26.5703125" style="2" bestFit="1" customWidth="1"/>
    <col min="3" max="6" width="11.140625" style="2" customWidth="1"/>
    <col min="7" max="7" width="14.140625" style="28" customWidth="1"/>
    <col min="8" max="8" width="16.7109375" style="1" customWidth="1"/>
    <col min="9" max="16384" width="9.140625" style="2"/>
  </cols>
  <sheetData>
    <row r="1" spans="1:8" ht="4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</row>
    <row r="2" spans="1:8" ht="15.75" thickBot="1" x14ac:dyDescent="0.3"/>
    <row r="3" spans="1:8" ht="15.75" customHeight="1" thickBot="1" x14ac:dyDescent="0.3">
      <c r="A3" s="38" t="s">
        <v>1</v>
      </c>
      <c r="B3" s="38" t="s">
        <v>2</v>
      </c>
      <c r="C3" s="44" t="s">
        <v>3</v>
      </c>
      <c r="D3" s="45"/>
      <c r="E3" s="44" t="s">
        <v>4</v>
      </c>
      <c r="F3" s="45"/>
      <c r="G3" s="42" t="s">
        <v>27</v>
      </c>
      <c r="H3" s="42" t="s">
        <v>26</v>
      </c>
    </row>
    <row r="4" spans="1:8" ht="30.75" customHeight="1" thickBot="1" x14ac:dyDescent="0.3">
      <c r="A4" s="39"/>
      <c r="B4" s="39"/>
      <c r="C4" s="26" t="s">
        <v>6</v>
      </c>
      <c r="D4" s="27" t="s">
        <v>7</v>
      </c>
      <c r="E4" s="26" t="s">
        <v>8</v>
      </c>
      <c r="F4" s="26" t="s">
        <v>9</v>
      </c>
      <c r="G4" s="43"/>
      <c r="H4" s="43"/>
    </row>
    <row r="5" spans="1:8" x14ac:dyDescent="0.25">
      <c r="A5" s="5"/>
      <c r="B5" s="6"/>
      <c r="C5" s="5"/>
      <c r="D5" s="5"/>
      <c r="E5" s="5"/>
      <c r="F5" s="5"/>
      <c r="G5" s="29"/>
      <c r="H5" s="19"/>
    </row>
    <row r="6" spans="1:8" ht="15.75" thickBot="1" x14ac:dyDescent="0.3">
      <c r="A6" s="5" t="s">
        <v>10</v>
      </c>
      <c r="B6" s="7" t="s">
        <v>29</v>
      </c>
      <c r="C6" s="31">
        <v>0</v>
      </c>
      <c r="D6" s="31">
        <v>0</v>
      </c>
      <c r="E6" s="31">
        <v>0</v>
      </c>
      <c r="F6" s="8">
        <v>654.5</v>
      </c>
      <c r="G6" s="30">
        <v>654.5</v>
      </c>
      <c r="H6" s="31">
        <v>0</v>
      </c>
    </row>
    <row r="7" spans="1:8" ht="15.75" thickBot="1" x14ac:dyDescent="0.3">
      <c r="A7" s="9" t="s">
        <v>11</v>
      </c>
      <c r="B7" s="10"/>
      <c r="C7" s="36">
        <v>0</v>
      </c>
      <c r="D7" s="36">
        <v>0</v>
      </c>
      <c r="E7" s="36">
        <v>0</v>
      </c>
      <c r="F7" s="11">
        <v>654.5</v>
      </c>
      <c r="G7" s="11">
        <v>654.5</v>
      </c>
      <c r="H7" s="36">
        <v>0</v>
      </c>
    </row>
    <row r="8" spans="1:8" x14ac:dyDescent="0.25">
      <c r="A8" s="5"/>
      <c r="B8" s="12"/>
      <c r="C8" s="8"/>
      <c r="D8" s="8"/>
      <c r="E8" s="8"/>
      <c r="F8" s="8"/>
      <c r="G8" s="30"/>
      <c r="H8" s="19"/>
    </row>
    <row r="9" spans="1:8" x14ac:dyDescent="0.25">
      <c r="A9" s="5" t="s">
        <v>12</v>
      </c>
      <c r="B9" s="8" t="s">
        <v>30</v>
      </c>
      <c r="C9" s="13">
        <v>6443.82</v>
      </c>
      <c r="D9" s="13">
        <v>1523.6599999999999</v>
      </c>
      <c r="E9" s="13">
        <v>6660.32</v>
      </c>
      <c r="F9" s="13">
        <v>1174.9299999999998</v>
      </c>
      <c r="G9" s="31">
        <v>15802.73</v>
      </c>
      <c r="H9" s="31">
        <v>0</v>
      </c>
    </row>
    <row r="10" spans="1:8" x14ac:dyDescent="0.25">
      <c r="A10" s="5"/>
      <c r="B10" s="8" t="s">
        <v>31</v>
      </c>
      <c r="C10" s="13">
        <v>6443.82</v>
      </c>
      <c r="D10" s="13">
        <v>260.87</v>
      </c>
      <c r="E10" s="13">
        <v>5845.27</v>
      </c>
      <c r="F10" s="13">
        <v>1991.54</v>
      </c>
      <c r="G10" s="31">
        <v>14541.5</v>
      </c>
      <c r="H10" s="31">
        <v>0</v>
      </c>
    </row>
    <row r="11" spans="1:8" x14ac:dyDescent="0.25">
      <c r="A11" s="5"/>
      <c r="B11" s="8" t="s">
        <v>32</v>
      </c>
      <c r="C11" s="13">
        <v>6954.9699999999993</v>
      </c>
      <c r="D11" s="13">
        <v>1142.8800000000001</v>
      </c>
      <c r="E11" s="13">
        <v>6932.2800000000007</v>
      </c>
      <c r="F11" s="13">
        <v>4895.49</v>
      </c>
      <c r="G11" s="31">
        <v>19925.620000000003</v>
      </c>
      <c r="H11" s="31">
        <v>0</v>
      </c>
    </row>
    <row r="12" spans="1:8" x14ac:dyDescent="0.25">
      <c r="A12" s="5"/>
      <c r="B12" s="8" t="s">
        <v>33</v>
      </c>
      <c r="C12" s="13">
        <v>4510.68</v>
      </c>
      <c r="D12" s="13">
        <v>375.27</v>
      </c>
      <c r="E12" s="13">
        <v>5645.5999999999995</v>
      </c>
      <c r="F12" s="13">
        <v>2680.88</v>
      </c>
      <c r="G12" s="31">
        <v>13212.43</v>
      </c>
      <c r="H12" s="31">
        <v>0</v>
      </c>
    </row>
    <row r="13" spans="1:8" x14ac:dyDescent="0.25">
      <c r="A13" s="5"/>
      <c r="B13" s="8" t="s">
        <v>34</v>
      </c>
      <c r="C13" s="13">
        <v>3866.2799999999997</v>
      </c>
      <c r="D13" s="13">
        <v>252.17</v>
      </c>
      <c r="E13" s="13">
        <v>6388.82</v>
      </c>
      <c r="F13" s="13">
        <v>958.24</v>
      </c>
      <c r="G13" s="31">
        <v>11465.51</v>
      </c>
      <c r="H13" s="31">
        <v>0</v>
      </c>
    </row>
    <row r="14" spans="1:8" x14ac:dyDescent="0.25">
      <c r="A14" s="5"/>
      <c r="B14" s="8" t="s">
        <v>35</v>
      </c>
      <c r="C14" s="13">
        <v>6443.82</v>
      </c>
      <c r="D14" s="13">
        <v>900.67000000000007</v>
      </c>
      <c r="E14" s="13">
        <v>8008.6200000000008</v>
      </c>
      <c r="F14" s="13">
        <v>2712.71</v>
      </c>
      <c r="G14" s="31">
        <v>18065.82</v>
      </c>
      <c r="H14" s="31">
        <v>0</v>
      </c>
    </row>
    <row r="15" spans="1:8" x14ac:dyDescent="0.25">
      <c r="A15" s="5"/>
      <c r="B15" s="8" t="s">
        <v>36</v>
      </c>
      <c r="C15" s="13">
        <v>6443.82</v>
      </c>
      <c r="D15" s="13">
        <v>581.21</v>
      </c>
      <c r="E15" s="13">
        <v>8531.48</v>
      </c>
      <c r="F15" s="13">
        <v>1094.05</v>
      </c>
      <c r="G15" s="31">
        <v>16650.559999999998</v>
      </c>
      <c r="H15" s="31">
        <v>0</v>
      </c>
    </row>
    <row r="16" spans="1:8" x14ac:dyDescent="0.25">
      <c r="A16" s="5"/>
      <c r="B16" s="8" t="s">
        <v>37</v>
      </c>
      <c r="C16" s="31">
        <v>0</v>
      </c>
      <c r="D16" s="13">
        <v>147.83000000000001</v>
      </c>
      <c r="E16" s="13">
        <v>4222.67</v>
      </c>
      <c r="F16" s="13">
        <v>2257.6</v>
      </c>
      <c r="G16" s="31">
        <v>6628.1</v>
      </c>
      <c r="H16" s="34">
        <v>8922</v>
      </c>
    </row>
    <row r="17" spans="1:8" x14ac:dyDescent="0.25">
      <c r="A17" s="5"/>
      <c r="B17" s="8" t="s">
        <v>38</v>
      </c>
      <c r="C17" s="31">
        <v>0</v>
      </c>
      <c r="D17" s="13">
        <v>1090.23</v>
      </c>
      <c r="E17" s="13">
        <v>4376.82</v>
      </c>
      <c r="F17" s="13">
        <v>3067.5699999999997</v>
      </c>
      <c r="G17" s="31">
        <v>8534.619999999999</v>
      </c>
      <c r="H17" s="31">
        <v>0</v>
      </c>
    </row>
    <row r="18" spans="1:8" x14ac:dyDescent="0.25">
      <c r="A18" s="5"/>
      <c r="B18" s="8" t="s">
        <v>39</v>
      </c>
      <c r="C18" s="13">
        <v>6443.82</v>
      </c>
      <c r="D18" s="13">
        <v>537</v>
      </c>
      <c r="E18" s="13">
        <v>6172.5499999999993</v>
      </c>
      <c r="F18" s="13">
        <v>2428.7400000000002</v>
      </c>
      <c r="G18" s="31">
        <v>15582.109999999999</v>
      </c>
      <c r="H18" s="34">
        <v>1247</v>
      </c>
    </row>
    <row r="19" spans="1:8" x14ac:dyDescent="0.25">
      <c r="A19" s="5"/>
      <c r="B19" s="8" t="s">
        <v>40</v>
      </c>
      <c r="C19" s="13">
        <v>6443.82</v>
      </c>
      <c r="D19" s="13">
        <v>1310.05</v>
      </c>
      <c r="E19" s="13">
        <v>5887.82</v>
      </c>
      <c r="F19" s="13">
        <v>1964.22</v>
      </c>
      <c r="G19" s="31">
        <v>15605.909999999998</v>
      </c>
      <c r="H19" s="31">
        <v>0</v>
      </c>
    </row>
    <row r="20" spans="1:8" x14ac:dyDescent="0.25">
      <c r="A20" s="5"/>
      <c r="B20" s="8" t="s">
        <v>41</v>
      </c>
      <c r="C20" s="13">
        <v>4510.68</v>
      </c>
      <c r="D20" s="13">
        <v>428.69</v>
      </c>
      <c r="E20" s="13">
        <v>6037.97</v>
      </c>
      <c r="F20" s="13">
        <v>2054.38</v>
      </c>
      <c r="G20" s="31">
        <v>13031.720000000001</v>
      </c>
      <c r="H20" s="31">
        <v>0</v>
      </c>
    </row>
    <row r="21" spans="1:8" x14ac:dyDescent="0.25">
      <c r="A21" s="5"/>
      <c r="B21" s="8" t="s">
        <v>42</v>
      </c>
      <c r="C21" s="31">
        <v>0</v>
      </c>
      <c r="D21" s="13">
        <v>1921.13</v>
      </c>
      <c r="E21" s="13">
        <v>5719.46</v>
      </c>
      <c r="F21" s="13">
        <v>3436.81</v>
      </c>
      <c r="G21" s="31">
        <v>11077.4</v>
      </c>
      <c r="H21" s="31">
        <v>0</v>
      </c>
    </row>
    <row r="22" spans="1:8" ht="15.75" thickBot="1" x14ac:dyDescent="0.3">
      <c r="A22" s="5"/>
      <c r="B22" s="8" t="s">
        <v>43</v>
      </c>
      <c r="C22" s="13">
        <v>6443.82</v>
      </c>
      <c r="D22" s="13">
        <v>990.24</v>
      </c>
      <c r="E22" s="13">
        <v>10425.93</v>
      </c>
      <c r="F22" s="13">
        <v>5151.38</v>
      </c>
      <c r="G22" s="31">
        <v>23011.37</v>
      </c>
      <c r="H22" s="31">
        <v>0</v>
      </c>
    </row>
    <row r="23" spans="1:8" ht="15.75" thickBot="1" x14ac:dyDescent="0.3">
      <c r="A23" s="9" t="s">
        <v>13</v>
      </c>
      <c r="B23" s="14"/>
      <c r="C23" s="15">
        <v>64949.35</v>
      </c>
      <c r="D23" s="15">
        <v>11461.9</v>
      </c>
      <c r="E23" s="15">
        <v>90855.610000000015</v>
      </c>
      <c r="F23" s="15">
        <v>35868.54</v>
      </c>
      <c r="G23" s="15">
        <v>203135.4</v>
      </c>
      <c r="H23" s="36">
        <f>H18+H16</f>
        <v>10169</v>
      </c>
    </row>
    <row r="24" spans="1:8" x14ac:dyDescent="0.25">
      <c r="A24" s="5"/>
      <c r="B24" s="16"/>
      <c r="C24" s="17"/>
      <c r="D24" s="17"/>
      <c r="E24" s="17"/>
      <c r="F24" s="17"/>
      <c r="G24" s="31"/>
      <c r="H24" s="19"/>
    </row>
    <row r="25" spans="1:8" x14ac:dyDescent="0.25">
      <c r="A25" s="5" t="s">
        <v>14</v>
      </c>
      <c r="B25" s="8" t="s">
        <v>44</v>
      </c>
      <c r="C25" s="8">
        <v>6443.82</v>
      </c>
      <c r="D25" s="8">
        <v>768.57</v>
      </c>
      <c r="E25" s="8">
        <v>5742.93</v>
      </c>
      <c r="F25" s="8">
        <v>3266.64</v>
      </c>
      <c r="G25" s="31">
        <v>16221.96</v>
      </c>
      <c r="H25" s="31">
        <v>0</v>
      </c>
    </row>
    <row r="26" spans="1:8" x14ac:dyDescent="0.25">
      <c r="A26" s="5"/>
      <c r="B26" s="8" t="s">
        <v>45</v>
      </c>
      <c r="C26" s="8">
        <v>4510.68</v>
      </c>
      <c r="D26" s="8">
        <v>712.5</v>
      </c>
      <c r="E26" s="8">
        <v>10612.92</v>
      </c>
      <c r="F26" s="8">
        <v>2853.6099999999997</v>
      </c>
      <c r="G26" s="31">
        <v>18689.71</v>
      </c>
      <c r="H26" s="31">
        <v>0</v>
      </c>
    </row>
    <row r="27" spans="1:8" x14ac:dyDescent="0.25">
      <c r="A27" s="5"/>
      <c r="B27" s="8" t="s">
        <v>46</v>
      </c>
      <c r="C27" s="8">
        <v>1557.68</v>
      </c>
      <c r="D27" s="8">
        <v>1639.02</v>
      </c>
      <c r="E27" s="8">
        <v>14007.880000000001</v>
      </c>
      <c r="F27" s="8">
        <v>3091.31</v>
      </c>
      <c r="G27" s="31">
        <v>20295.890000000003</v>
      </c>
      <c r="H27" s="31">
        <v>0</v>
      </c>
    </row>
    <row r="28" spans="1:8" x14ac:dyDescent="0.25">
      <c r="A28" s="5"/>
      <c r="B28" s="8" t="s">
        <v>47</v>
      </c>
      <c r="C28" s="8">
        <v>6443.82</v>
      </c>
      <c r="D28" s="8">
        <v>599.69000000000005</v>
      </c>
      <c r="E28" s="8">
        <v>7057.92</v>
      </c>
      <c r="F28" s="8">
        <v>6511.79</v>
      </c>
      <c r="G28" s="31">
        <v>20613.22</v>
      </c>
      <c r="H28" s="31">
        <v>0</v>
      </c>
    </row>
    <row r="29" spans="1:8" x14ac:dyDescent="0.25">
      <c r="A29" s="5"/>
      <c r="B29" s="8" t="s">
        <v>48</v>
      </c>
      <c r="C29" s="8">
        <v>6443.82</v>
      </c>
      <c r="D29" s="8">
        <v>296</v>
      </c>
      <c r="E29" s="8">
        <v>5471.71</v>
      </c>
      <c r="F29" s="8">
        <v>1177.9000000000001</v>
      </c>
      <c r="G29" s="31">
        <v>13389.429999999998</v>
      </c>
      <c r="H29" s="31">
        <v>0</v>
      </c>
    </row>
    <row r="30" spans="1:8" x14ac:dyDescent="0.25">
      <c r="A30" s="5"/>
      <c r="B30" s="8" t="s">
        <v>49</v>
      </c>
      <c r="C30" s="8">
        <v>6443.82</v>
      </c>
      <c r="D30" s="8">
        <v>2511.9</v>
      </c>
      <c r="E30" s="8">
        <v>8865.3700000000008</v>
      </c>
      <c r="F30" s="8">
        <v>6194.4400000000005</v>
      </c>
      <c r="G30" s="31">
        <v>24015.53</v>
      </c>
      <c r="H30" s="31">
        <v>0</v>
      </c>
    </row>
    <row r="31" spans="1:8" x14ac:dyDescent="0.25">
      <c r="A31" s="5"/>
      <c r="B31" s="8" t="s">
        <v>50</v>
      </c>
      <c r="C31" s="8">
        <v>6443.82</v>
      </c>
      <c r="D31" s="8">
        <v>277.39999999999998</v>
      </c>
      <c r="E31" s="8">
        <v>6352.15</v>
      </c>
      <c r="F31" s="8">
        <v>3829.2799999999997</v>
      </c>
      <c r="G31" s="31">
        <v>16902.649999999998</v>
      </c>
      <c r="H31" s="34">
        <v>1187</v>
      </c>
    </row>
    <row r="32" spans="1:8" x14ac:dyDescent="0.25">
      <c r="A32" s="5"/>
      <c r="B32" s="8" t="s">
        <v>51</v>
      </c>
      <c r="C32" s="31">
        <v>0</v>
      </c>
      <c r="D32" s="8">
        <v>1042.93</v>
      </c>
      <c r="E32" s="8">
        <v>2352.9199999999996</v>
      </c>
      <c r="F32" s="8">
        <v>6654.12</v>
      </c>
      <c r="G32" s="31">
        <v>10049.969999999999</v>
      </c>
      <c r="H32" s="34">
        <v>1190</v>
      </c>
    </row>
    <row r="33" spans="1:8" x14ac:dyDescent="0.25">
      <c r="A33" s="5"/>
      <c r="B33" s="8" t="s">
        <v>52</v>
      </c>
      <c r="C33" s="8">
        <v>2808.67</v>
      </c>
      <c r="D33" s="8">
        <v>723.98</v>
      </c>
      <c r="E33" s="8">
        <v>4086.54</v>
      </c>
      <c r="F33" s="8">
        <v>7109.6200000000008</v>
      </c>
      <c r="G33" s="31">
        <v>14728.810000000001</v>
      </c>
      <c r="H33" s="31">
        <v>0</v>
      </c>
    </row>
    <row r="34" spans="1:8" x14ac:dyDescent="0.25">
      <c r="A34" s="5"/>
      <c r="B34" s="8" t="s">
        <v>53</v>
      </c>
      <c r="C34" s="31">
        <v>0</v>
      </c>
      <c r="D34" s="8">
        <v>165.22</v>
      </c>
      <c r="E34" s="8">
        <v>3645.55</v>
      </c>
      <c r="F34" s="8">
        <v>7827.1399999999994</v>
      </c>
      <c r="G34" s="31">
        <v>11637.91</v>
      </c>
      <c r="H34" s="31">
        <v>0</v>
      </c>
    </row>
    <row r="35" spans="1:8" x14ac:dyDescent="0.25">
      <c r="A35" s="5"/>
      <c r="B35" s="8" t="s">
        <v>54</v>
      </c>
      <c r="C35" s="31">
        <v>0</v>
      </c>
      <c r="D35" s="8">
        <v>1219.1300000000001</v>
      </c>
      <c r="E35" s="8">
        <v>5219.16</v>
      </c>
      <c r="F35" s="8">
        <v>4909.32</v>
      </c>
      <c r="G35" s="31">
        <v>11347.61</v>
      </c>
      <c r="H35" s="31">
        <v>0</v>
      </c>
    </row>
    <row r="36" spans="1:8" x14ac:dyDescent="0.25">
      <c r="A36" s="5"/>
      <c r="B36" s="8" t="s">
        <v>55</v>
      </c>
      <c r="C36" s="31">
        <v>0</v>
      </c>
      <c r="D36" s="8">
        <v>1173.9100000000001</v>
      </c>
      <c r="E36" s="8">
        <v>4045.3999999999996</v>
      </c>
      <c r="F36" s="8">
        <v>3517.7799999999997</v>
      </c>
      <c r="G36" s="31">
        <v>8737.09</v>
      </c>
      <c r="H36" s="34">
        <v>11840</v>
      </c>
    </row>
    <row r="37" spans="1:8" x14ac:dyDescent="0.25">
      <c r="A37" s="5"/>
      <c r="B37" s="8" t="s">
        <v>56</v>
      </c>
      <c r="C37" s="8">
        <v>4510.68</v>
      </c>
      <c r="D37" s="8">
        <v>48.78</v>
      </c>
      <c r="E37" s="8">
        <v>1535.68</v>
      </c>
      <c r="F37" s="8">
        <v>1833.44</v>
      </c>
      <c r="G37" s="31">
        <v>7928.58</v>
      </c>
      <c r="H37" s="31">
        <v>0</v>
      </c>
    </row>
    <row r="38" spans="1:8" x14ac:dyDescent="0.25">
      <c r="A38" s="5"/>
      <c r="B38" s="8" t="s">
        <v>57</v>
      </c>
      <c r="C38" s="31">
        <v>0</v>
      </c>
      <c r="D38" s="8">
        <v>6735.4</v>
      </c>
      <c r="E38" s="8">
        <v>15280.9</v>
      </c>
      <c r="F38" s="8">
        <v>13992.910000000002</v>
      </c>
      <c r="G38" s="31">
        <v>36009.21</v>
      </c>
      <c r="H38" s="31">
        <v>0</v>
      </c>
    </row>
    <row r="39" spans="1:8" x14ac:dyDescent="0.25">
      <c r="A39" s="5"/>
      <c r="B39" s="8" t="s">
        <v>58</v>
      </c>
      <c r="C39" s="8">
        <v>6443.82</v>
      </c>
      <c r="D39" s="8">
        <v>3050.89</v>
      </c>
      <c r="E39" s="8">
        <v>6128.3799999999992</v>
      </c>
      <c r="F39" s="8">
        <v>4533.76</v>
      </c>
      <c r="G39" s="31">
        <v>20156.849999999999</v>
      </c>
      <c r="H39" s="31">
        <v>0</v>
      </c>
    </row>
    <row r="40" spans="1:8" x14ac:dyDescent="0.25">
      <c r="A40" s="5"/>
      <c r="B40" s="8" t="s">
        <v>59</v>
      </c>
      <c r="C40" s="31">
        <v>0</v>
      </c>
      <c r="D40" s="8">
        <v>281.2</v>
      </c>
      <c r="E40" s="8">
        <v>5159.57</v>
      </c>
      <c r="F40" s="8">
        <v>5664.21</v>
      </c>
      <c r="G40" s="31">
        <v>11104.98</v>
      </c>
      <c r="H40" s="31">
        <v>0</v>
      </c>
    </row>
    <row r="41" spans="1:8" x14ac:dyDescent="0.25">
      <c r="A41" s="5"/>
      <c r="B41" s="8" t="s">
        <v>60</v>
      </c>
      <c r="C41" s="8">
        <v>4510.68</v>
      </c>
      <c r="D41" s="31">
        <v>0</v>
      </c>
      <c r="E41" s="8">
        <v>4973.6000000000004</v>
      </c>
      <c r="F41" s="8">
        <v>1553.08</v>
      </c>
      <c r="G41" s="31">
        <v>11037.36</v>
      </c>
      <c r="H41" s="31">
        <v>0</v>
      </c>
    </row>
    <row r="42" spans="1:8" x14ac:dyDescent="0.25">
      <c r="A42" s="5"/>
      <c r="B42" s="8" t="s">
        <v>61</v>
      </c>
      <c r="C42" s="8">
        <v>6443.82</v>
      </c>
      <c r="D42" s="8">
        <v>723.03</v>
      </c>
      <c r="E42" s="8">
        <v>4587.51</v>
      </c>
      <c r="F42" s="8">
        <v>4318.17</v>
      </c>
      <c r="G42" s="31">
        <v>16072.53</v>
      </c>
      <c r="H42" s="31">
        <v>0</v>
      </c>
    </row>
    <row r="43" spans="1:8" x14ac:dyDescent="0.25">
      <c r="A43" s="5"/>
      <c r="B43" s="8" t="s">
        <v>62</v>
      </c>
      <c r="C43" s="8">
        <v>6988.93</v>
      </c>
      <c r="D43" s="8">
        <v>1362.6799999999998</v>
      </c>
      <c r="E43" s="8">
        <v>5095.03</v>
      </c>
      <c r="F43" s="8">
        <v>5495.13</v>
      </c>
      <c r="G43" s="31">
        <v>18941.77</v>
      </c>
      <c r="H43" s="31">
        <v>0</v>
      </c>
    </row>
    <row r="44" spans="1:8" x14ac:dyDescent="0.25">
      <c r="A44" s="5"/>
      <c r="B44" s="8" t="s">
        <v>63</v>
      </c>
      <c r="C44" s="8">
        <v>4510.68</v>
      </c>
      <c r="D44" s="8">
        <v>121.74</v>
      </c>
      <c r="E44" s="8">
        <v>10318.900000000001</v>
      </c>
      <c r="F44" s="8">
        <v>2728.54</v>
      </c>
      <c r="G44" s="31">
        <v>17679.86</v>
      </c>
      <c r="H44" s="31">
        <v>0</v>
      </c>
    </row>
    <row r="45" spans="1:8" x14ac:dyDescent="0.25">
      <c r="A45" s="5"/>
      <c r="B45" s="8" t="s">
        <v>64</v>
      </c>
      <c r="C45" s="31">
        <v>0</v>
      </c>
      <c r="D45" s="8">
        <v>1118.1300000000001</v>
      </c>
      <c r="E45" s="8">
        <v>4580.54</v>
      </c>
      <c r="F45" s="8">
        <v>1605.19</v>
      </c>
      <c r="G45" s="31">
        <v>7303.8600000000006</v>
      </c>
      <c r="H45" s="31">
        <v>0</v>
      </c>
    </row>
    <row r="46" spans="1:8" x14ac:dyDescent="0.25">
      <c r="A46" s="5"/>
      <c r="B46" s="8" t="s">
        <v>65</v>
      </c>
      <c r="C46" s="8">
        <v>6443.82</v>
      </c>
      <c r="D46" s="8">
        <v>1940.4099999999999</v>
      </c>
      <c r="E46" s="8">
        <v>4496.92</v>
      </c>
      <c r="F46" s="8">
        <v>5928.79</v>
      </c>
      <c r="G46" s="31">
        <v>18809.939999999999</v>
      </c>
      <c r="H46" s="31">
        <v>0</v>
      </c>
    </row>
    <row r="47" spans="1:8" x14ac:dyDescent="0.25">
      <c r="A47" s="5"/>
      <c r="B47" s="8" t="s">
        <v>66</v>
      </c>
      <c r="C47" s="8">
        <v>4510.68</v>
      </c>
      <c r="D47" s="31">
        <v>0</v>
      </c>
      <c r="E47" s="8">
        <v>6100.78</v>
      </c>
      <c r="F47" s="8">
        <v>635.38</v>
      </c>
      <c r="G47" s="31">
        <v>11246.839999999998</v>
      </c>
      <c r="H47" s="31">
        <v>0</v>
      </c>
    </row>
    <row r="48" spans="1:8" x14ac:dyDescent="0.25">
      <c r="A48" s="5"/>
      <c r="B48" s="8" t="s">
        <v>67</v>
      </c>
      <c r="C48" s="8">
        <v>1486.94</v>
      </c>
      <c r="D48" s="8">
        <v>330.43</v>
      </c>
      <c r="E48" s="8">
        <v>4686.5200000000004</v>
      </c>
      <c r="F48" s="8">
        <v>4075.1400000000003</v>
      </c>
      <c r="G48" s="31">
        <v>10579.03</v>
      </c>
      <c r="H48" s="31">
        <v>0</v>
      </c>
    </row>
    <row r="49" spans="1:9" x14ac:dyDescent="0.25">
      <c r="A49" s="5"/>
      <c r="B49" s="8" t="s">
        <v>68</v>
      </c>
      <c r="C49" s="8">
        <v>3099.63</v>
      </c>
      <c r="D49" s="8">
        <v>319.74</v>
      </c>
      <c r="E49" s="8">
        <v>7493.5</v>
      </c>
      <c r="F49" s="8">
        <v>4688.16</v>
      </c>
      <c r="G49" s="31">
        <v>15601.029999999999</v>
      </c>
      <c r="H49" s="31">
        <v>0</v>
      </c>
    </row>
    <row r="50" spans="1:9" x14ac:dyDescent="0.25">
      <c r="A50" s="5"/>
      <c r="B50" s="8" t="s">
        <v>69</v>
      </c>
      <c r="C50" s="8">
        <v>826.08</v>
      </c>
      <c r="D50" s="8">
        <v>165.22</v>
      </c>
      <c r="E50" s="8">
        <v>10357.68</v>
      </c>
      <c r="F50" s="8">
        <v>3968.48</v>
      </c>
      <c r="G50" s="31">
        <v>15317.46</v>
      </c>
      <c r="H50" s="31">
        <v>0</v>
      </c>
    </row>
    <row r="51" spans="1:9" x14ac:dyDescent="0.25">
      <c r="A51" s="5"/>
      <c r="B51" s="8" t="s">
        <v>70</v>
      </c>
      <c r="C51" s="8">
        <v>3866.2799999999997</v>
      </c>
      <c r="D51" s="8">
        <v>147.83000000000001</v>
      </c>
      <c r="E51" s="8">
        <v>5558.96</v>
      </c>
      <c r="F51" s="8">
        <v>3638.46</v>
      </c>
      <c r="G51" s="31">
        <v>13211.529999999999</v>
      </c>
      <c r="H51" s="31">
        <v>0</v>
      </c>
    </row>
    <row r="52" spans="1:9" x14ac:dyDescent="0.25">
      <c r="A52" s="5"/>
      <c r="B52" s="8" t="s">
        <v>71</v>
      </c>
      <c r="C52" s="8">
        <v>816.18000000000006</v>
      </c>
      <c r="D52" s="8">
        <v>796.88</v>
      </c>
      <c r="E52" s="8">
        <v>4717.33</v>
      </c>
      <c r="F52" s="8">
        <v>5863.6399999999994</v>
      </c>
      <c r="G52" s="31">
        <v>12194.029999999999</v>
      </c>
      <c r="H52" s="31">
        <v>0</v>
      </c>
    </row>
    <row r="53" spans="1:9" x14ac:dyDescent="0.25">
      <c r="A53" s="5"/>
      <c r="B53" s="8" t="s">
        <v>72</v>
      </c>
      <c r="C53" s="8">
        <v>6443.82</v>
      </c>
      <c r="D53" s="31">
        <v>0</v>
      </c>
      <c r="E53" s="8">
        <v>2371.0500000000002</v>
      </c>
      <c r="F53" s="8">
        <v>3903.2299999999996</v>
      </c>
      <c r="G53" s="31">
        <v>12718.099999999999</v>
      </c>
      <c r="H53" s="31">
        <v>0</v>
      </c>
    </row>
    <row r="54" spans="1:9" x14ac:dyDescent="0.25">
      <c r="A54" s="5"/>
      <c r="B54" s="8" t="s">
        <v>73</v>
      </c>
      <c r="C54" s="8">
        <v>470</v>
      </c>
      <c r="D54" s="8">
        <v>1535</v>
      </c>
      <c r="E54" s="8">
        <v>14361.480000000001</v>
      </c>
      <c r="F54" s="8">
        <v>3990</v>
      </c>
      <c r="G54" s="31">
        <v>20357</v>
      </c>
      <c r="H54" s="31">
        <v>0</v>
      </c>
    </row>
    <row r="55" spans="1:9" x14ac:dyDescent="0.25">
      <c r="A55" s="5"/>
      <c r="B55" s="8" t="s">
        <v>74</v>
      </c>
      <c r="C55" s="8">
        <v>6443.82</v>
      </c>
      <c r="D55" s="8">
        <v>536.49</v>
      </c>
      <c r="E55" s="8">
        <v>6638.42</v>
      </c>
      <c r="F55" s="8">
        <v>4278.96</v>
      </c>
      <c r="G55" s="31">
        <v>17897.689999999999</v>
      </c>
      <c r="H55" s="31">
        <v>0</v>
      </c>
    </row>
    <row r="56" spans="1:9" ht="15.75" thickBot="1" x14ac:dyDescent="0.3">
      <c r="A56" s="5"/>
      <c r="B56" s="8" t="s">
        <v>75</v>
      </c>
      <c r="C56" s="8">
        <v>6443.82</v>
      </c>
      <c r="D56" s="31">
        <v>0</v>
      </c>
      <c r="E56" s="8">
        <v>5688.88</v>
      </c>
      <c r="F56" s="8">
        <v>1287.81</v>
      </c>
      <c r="G56" s="31">
        <v>13420.51</v>
      </c>
      <c r="H56" s="34">
        <v>9138</v>
      </c>
    </row>
    <row r="57" spans="1:9" ht="15.75" thickBot="1" x14ac:dyDescent="0.3">
      <c r="A57" s="9" t="s">
        <v>15</v>
      </c>
      <c r="B57" s="18"/>
      <c r="C57" s="15">
        <v>115356</v>
      </c>
      <c r="D57" s="15">
        <v>30345</v>
      </c>
      <c r="E57" s="15">
        <v>207592.08</v>
      </c>
      <c r="F57" s="15">
        <v>140926</v>
      </c>
      <c r="G57" s="15">
        <v>494218</v>
      </c>
      <c r="H57" s="36">
        <f>H56+H36+H32+H31</f>
        <v>23355</v>
      </c>
    </row>
    <row r="58" spans="1:9" x14ac:dyDescent="0.25">
      <c r="A58" s="5"/>
      <c r="B58" s="19"/>
      <c r="C58" s="13"/>
      <c r="D58" s="13"/>
      <c r="E58" s="13"/>
      <c r="F58" s="13"/>
      <c r="G58" s="31"/>
      <c r="H58" s="22"/>
    </row>
    <row r="59" spans="1:9" x14ac:dyDescent="0.25">
      <c r="A59" s="5" t="s">
        <v>16</v>
      </c>
      <c r="B59" s="8" t="s">
        <v>76</v>
      </c>
      <c r="C59" s="13">
        <v>0</v>
      </c>
      <c r="D59" s="13">
        <v>0</v>
      </c>
      <c r="E59" s="13">
        <v>1504.98</v>
      </c>
      <c r="F59" s="13">
        <v>0</v>
      </c>
      <c r="G59" s="31">
        <v>1504.98</v>
      </c>
      <c r="H59" s="31">
        <v>0</v>
      </c>
      <c r="I59" s="1"/>
    </row>
    <row r="60" spans="1:9" ht="15.75" thickBot="1" x14ac:dyDescent="0.3">
      <c r="A60" s="5"/>
      <c r="B60" s="8" t="s">
        <v>77</v>
      </c>
      <c r="C60" s="13">
        <v>3650.5</v>
      </c>
      <c r="D60" s="13">
        <v>4073.5</v>
      </c>
      <c r="E60" s="13">
        <v>9536</v>
      </c>
      <c r="F60" s="13">
        <v>5704.0599999999995</v>
      </c>
      <c r="G60" s="31">
        <v>22964.059999999998</v>
      </c>
      <c r="H60" s="31">
        <v>0</v>
      </c>
    </row>
    <row r="61" spans="1:9" s="1" customFormat="1" ht="15.75" thickBot="1" x14ac:dyDescent="0.3">
      <c r="A61" s="9" t="s">
        <v>17</v>
      </c>
      <c r="B61" s="20"/>
      <c r="C61" s="15">
        <v>3650.5</v>
      </c>
      <c r="D61" s="15">
        <v>4073.5</v>
      </c>
      <c r="E61" s="15">
        <v>11040.98</v>
      </c>
      <c r="F61" s="15">
        <v>5704.0599999999995</v>
      </c>
      <c r="G61" s="15">
        <v>24469.039999999997</v>
      </c>
      <c r="H61" s="35" t="s">
        <v>28</v>
      </c>
      <c r="I61" s="2"/>
    </row>
    <row r="62" spans="1:9" s="1" customFormat="1" x14ac:dyDescent="0.25">
      <c r="A62" s="5"/>
      <c r="B62" s="21"/>
      <c r="C62" s="13"/>
      <c r="D62" s="13"/>
      <c r="E62" s="13"/>
      <c r="F62" s="13"/>
      <c r="G62" s="31"/>
      <c r="H62" s="22"/>
      <c r="I62" s="2"/>
    </row>
    <row r="63" spans="1:9" s="1" customFormat="1" x14ac:dyDescent="0.25">
      <c r="A63" s="5" t="s">
        <v>18</v>
      </c>
      <c r="B63" s="8" t="s">
        <v>78</v>
      </c>
      <c r="C63" s="13">
        <v>0</v>
      </c>
      <c r="D63" s="13">
        <v>0</v>
      </c>
      <c r="E63" s="13">
        <v>1663.78</v>
      </c>
      <c r="F63" s="13">
        <v>0</v>
      </c>
      <c r="G63" s="31">
        <v>1663.78</v>
      </c>
      <c r="H63" s="31">
        <v>0</v>
      </c>
      <c r="I63" s="2"/>
    </row>
    <row r="64" spans="1:9" s="1" customFormat="1" x14ac:dyDescent="0.25">
      <c r="A64" s="5"/>
      <c r="B64" s="8" t="s">
        <v>79</v>
      </c>
      <c r="C64" s="13">
        <v>6443.82</v>
      </c>
      <c r="D64" s="13">
        <v>0</v>
      </c>
      <c r="E64" s="13">
        <v>12041.96</v>
      </c>
      <c r="F64" s="13">
        <v>2863.8999999999996</v>
      </c>
      <c r="G64" s="31">
        <v>21349.68</v>
      </c>
      <c r="H64" s="31">
        <v>0</v>
      </c>
      <c r="I64" s="2"/>
    </row>
    <row r="65" spans="1:9" s="1" customFormat="1" x14ac:dyDescent="0.25">
      <c r="A65" s="5"/>
      <c r="B65" s="8" t="s">
        <v>80</v>
      </c>
      <c r="C65" s="13">
        <v>6443.82</v>
      </c>
      <c r="D65" s="13">
        <v>993.64</v>
      </c>
      <c r="E65" s="13">
        <v>8467.48</v>
      </c>
      <c r="F65" s="13">
        <v>3174.03</v>
      </c>
      <c r="G65" s="31">
        <v>19078.969999999998</v>
      </c>
      <c r="H65" s="31">
        <v>0</v>
      </c>
      <c r="I65" s="2"/>
    </row>
    <row r="66" spans="1:9" s="1" customFormat="1" x14ac:dyDescent="0.25">
      <c r="A66" s="5"/>
      <c r="B66" s="8" t="s">
        <v>81</v>
      </c>
      <c r="C66" s="13">
        <v>0</v>
      </c>
      <c r="D66" s="13">
        <v>0</v>
      </c>
      <c r="E66" s="13">
        <v>3396.0099999999998</v>
      </c>
      <c r="F66" s="13">
        <v>0</v>
      </c>
      <c r="G66" s="31">
        <v>3396.0099999999998</v>
      </c>
      <c r="H66" s="31">
        <v>0</v>
      </c>
      <c r="I66" s="2"/>
    </row>
    <row r="67" spans="1:9" s="1" customFormat="1" x14ac:dyDescent="0.25">
      <c r="A67" s="5"/>
      <c r="B67" s="8" t="s">
        <v>82</v>
      </c>
      <c r="C67" s="13">
        <v>6443.82</v>
      </c>
      <c r="D67" s="13">
        <v>0</v>
      </c>
      <c r="E67" s="13">
        <v>4677.09</v>
      </c>
      <c r="F67" s="13">
        <v>4510.26</v>
      </c>
      <c r="G67" s="31">
        <v>15631.17</v>
      </c>
      <c r="H67" s="34">
        <v>11716</v>
      </c>
      <c r="I67" s="2"/>
    </row>
    <row r="68" spans="1:9" s="1" customFormat="1" x14ac:dyDescent="0.25">
      <c r="A68" s="5"/>
      <c r="B68" s="8" t="s">
        <v>83</v>
      </c>
      <c r="C68" s="13">
        <v>1156.51</v>
      </c>
      <c r="D68" s="13">
        <v>0</v>
      </c>
      <c r="E68" s="13">
        <v>3557.13</v>
      </c>
      <c r="F68" s="13">
        <v>1556.12</v>
      </c>
      <c r="G68" s="31">
        <v>6269.76</v>
      </c>
      <c r="H68" s="31">
        <v>0</v>
      </c>
      <c r="I68" s="2"/>
    </row>
    <row r="69" spans="1:9" s="1" customFormat="1" x14ac:dyDescent="0.25">
      <c r="A69" s="5"/>
      <c r="B69" s="8" t="s">
        <v>84</v>
      </c>
      <c r="C69" s="13">
        <v>0</v>
      </c>
      <c r="D69" s="13">
        <v>0</v>
      </c>
      <c r="E69" s="13">
        <v>0</v>
      </c>
      <c r="F69" s="13">
        <v>0</v>
      </c>
      <c r="G69" s="31">
        <v>0</v>
      </c>
      <c r="H69" s="31">
        <v>0</v>
      </c>
      <c r="I69" s="2"/>
    </row>
    <row r="70" spans="1:9" s="1" customFormat="1" x14ac:dyDescent="0.25">
      <c r="A70" s="5"/>
      <c r="B70" s="8" t="s">
        <v>85</v>
      </c>
      <c r="C70" s="13">
        <v>0</v>
      </c>
      <c r="D70" s="13">
        <v>0</v>
      </c>
      <c r="E70" s="13">
        <v>2547.2399999999998</v>
      </c>
      <c r="F70" s="13">
        <v>3671.84</v>
      </c>
      <c r="G70" s="31">
        <v>6219.08</v>
      </c>
      <c r="H70" s="31">
        <v>0</v>
      </c>
      <c r="I70" s="2"/>
    </row>
    <row r="71" spans="1:9" s="1" customFormat="1" x14ac:dyDescent="0.25">
      <c r="A71" s="5"/>
      <c r="B71" s="8" t="s">
        <v>86</v>
      </c>
      <c r="C71" s="13">
        <v>9435.5999999999985</v>
      </c>
      <c r="D71" s="13">
        <v>243.05</v>
      </c>
      <c r="E71" s="13">
        <v>5743.2</v>
      </c>
      <c r="F71" s="13">
        <v>4482.17</v>
      </c>
      <c r="G71" s="31">
        <v>19904.019999999997</v>
      </c>
      <c r="H71" s="31">
        <v>0</v>
      </c>
      <c r="I71" s="2"/>
    </row>
    <row r="72" spans="1:9" s="1" customFormat="1" x14ac:dyDescent="0.25">
      <c r="A72" s="5"/>
      <c r="B72" s="8" t="s">
        <v>87</v>
      </c>
      <c r="C72" s="13">
        <v>0</v>
      </c>
      <c r="D72" s="13">
        <v>0</v>
      </c>
      <c r="E72" s="13">
        <v>906.92</v>
      </c>
      <c r="F72" s="13">
        <v>0</v>
      </c>
      <c r="G72" s="31">
        <v>906.92</v>
      </c>
      <c r="H72" s="31">
        <v>0</v>
      </c>
      <c r="I72" s="2"/>
    </row>
    <row r="73" spans="1:9" s="1" customFormat="1" x14ac:dyDescent="0.25">
      <c r="A73" s="5"/>
      <c r="B73" s="8" t="s">
        <v>88</v>
      </c>
      <c r="C73" s="13">
        <v>0</v>
      </c>
      <c r="D73" s="13">
        <v>0</v>
      </c>
      <c r="E73" s="13">
        <v>3818.2400000000002</v>
      </c>
      <c r="F73" s="13">
        <v>0</v>
      </c>
      <c r="G73" s="31">
        <v>3818.2400000000002</v>
      </c>
      <c r="H73" s="31">
        <v>0</v>
      </c>
      <c r="I73" s="2"/>
    </row>
    <row r="74" spans="1:9" s="1" customFormat="1" x14ac:dyDescent="0.25">
      <c r="A74" s="5"/>
      <c r="B74" s="8" t="s">
        <v>89</v>
      </c>
      <c r="C74" s="13">
        <v>9435.5999999999985</v>
      </c>
      <c r="D74" s="13">
        <v>0</v>
      </c>
      <c r="E74" s="13">
        <v>5768.1799999999994</v>
      </c>
      <c r="F74" s="13">
        <v>5823.61</v>
      </c>
      <c r="G74" s="31">
        <v>21027.39</v>
      </c>
      <c r="H74" s="31">
        <v>18553</v>
      </c>
      <c r="I74" s="2"/>
    </row>
    <row r="75" spans="1:9" s="1" customFormat="1" x14ac:dyDescent="0.25">
      <c r="A75" s="5"/>
      <c r="B75" s="8" t="s">
        <v>90</v>
      </c>
      <c r="C75" s="13">
        <v>0</v>
      </c>
      <c r="D75" s="13">
        <v>0</v>
      </c>
      <c r="E75" s="13">
        <v>719.72</v>
      </c>
      <c r="F75" s="13">
        <v>0</v>
      </c>
      <c r="G75" s="31">
        <v>719.72</v>
      </c>
      <c r="H75" s="31">
        <v>0</v>
      </c>
      <c r="I75" s="2"/>
    </row>
    <row r="76" spans="1:9" s="1" customFormat="1" x14ac:dyDescent="0.25">
      <c r="A76" s="5"/>
      <c r="B76" s="8" t="s">
        <v>91</v>
      </c>
      <c r="C76" s="13">
        <v>0</v>
      </c>
      <c r="D76" s="13">
        <v>129.57</v>
      </c>
      <c r="E76" s="13">
        <v>213.07</v>
      </c>
      <c r="F76" s="13">
        <v>4807.01</v>
      </c>
      <c r="G76" s="31">
        <v>5149.6500000000005</v>
      </c>
      <c r="H76" s="31">
        <v>0</v>
      </c>
      <c r="I76" s="2"/>
    </row>
    <row r="77" spans="1:9" s="1" customFormat="1" x14ac:dyDescent="0.25">
      <c r="A77" s="5"/>
      <c r="B77" s="8" t="s">
        <v>92</v>
      </c>
      <c r="C77" s="13">
        <v>6443.82</v>
      </c>
      <c r="D77" s="13">
        <v>817.39</v>
      </c>
      <c r="E77" s="13">
        <v>7196.15</v>
      </c>
      <c r="F77" s="13">
        <v>6291.51</v>
      </c>
      <c r="G77" s="31">
        <v>20748.870000000003</v>
      </c>
      <c r="H77" s="31">
        <v>0</v>
      </c>
      <c r="I77" s="2"/>
    </row>
    <row r="78" spans="1:9" s="1" customFormat="1" x14ac:dyDescent="0.25">
      <c r="A78" s="5"/>
      <c r="B78" s="8" t="s">
        <v>93</v>
      </c>
      <c r="C78" s="13">
        <v>1486.78</v>
      </c>
      <c r="D78" s="13">
        <v>147.83000000000001</v>
      </c>
      <c r="E78" s="13">
        <v>4677.4000000000005</v>
      </c>
      <c r="F78" s="13">
        <v>2986.3599999999997</v>
      </c>
      <c r="G78" s="31">
        <v>9298.369999999999</v>
      </c>
      <c r="H78" s="31">
        <v>0</v>
      </c>
      <c r="I78" s="2"/>
    </row>
    <row r="79" spans="1:9" s="1" customFormat="1" x14ac:dyDescent="0.25">
      <c r="A79" s="5"/>
      <c r="B79" s="8" t="s">
        <v>94</v>
      </c>
      <c r="C79" s="13">
        <v>4510.68</v>
      </c>
      <c r="D79" s="13">
        <v>478.26</v>
      </c>
      <c r="E79" s="13">
        <v>7144.6900000000005</v>
      </c>
      <c r="F79" s="13">
        <v>532.87</v>
      </c>
      <c r="G79" s="31">
        <v>12666.500000000002</v>
      </c>
      <c r="H79" s="34">
        <v>1441</v>
      </c>
      <c r="I79" s="2"/>
    </row>
    <row r="80" spans="1:9" s="1" customFormat="1" x14ac:dyDescent="0.25">
      <c r="A80" s="5"/>
      <c r="B80" s="8" t="s">
        <v>95</v>
      </c>
      <c r="C80" s="13">
        <v>0</v>
      </c>
      <c r="D80" s="13">
        <v>0</v>
      </c>
      <c r="E80" s="13">
        <v>452.6</v>
      </c>
      <c r="F80" s="13">
        <v>0</v>
      </c>
      <c r="G80" s="31">
        <v>452.6</v>
      </c>
      <c r="H80" s="31">
        <v>0</v>
      </c>
      <c r="I80" s="2"/>
    </row>
    <row r="81" spans="1:9" s="1" customFormat="1" x14ac:dyDescent="0.25">
      <c r="A81" s="5"/>
      <c r="B81" s="8" t="s">
        <v>96</v>
      </c>
      <c r="C81" s="13">
        <v>0</v>
      </c>
      <c r="D81" s="13">
        <v>0</v>
      </c>
      <c r="E81" s="13">
        <v>0</v>
      </c>
      <c r="F81" s="13">
        <v>0</v>
      </c>
      <c r="G81" s="31">
        <v>0</v>
      </c>
      <c r="H81" s="31">
        <v>0</v>
      </c>
      <c r="I81" s="2"/>
    </row>
    <row r="82" spans="1:9" s="1" customFormat="1" x14ac:dyDescent="0.25">
      <c r="A82" s="5"/>
      <c r="B82" s="8" t="s">
        <v>97</v>
      </c>
      <c r="C82" s="13">
        <v>0</v>
      </c>
      <c r="D82" s="13">
        <v>0</v>
      </c>
      <c r="E82" s="13">
        <v>917.95</v>
      </c>
      <c r="F82" s="13">
        <v>0</v>
      </c>
      <c r="G82" s="31">
        <v>917.95</v>
      </c>
      <c r="H82" s="31">
        <v>0</v>
      </c>
      <c r="I82" s="2"/>
    </row>
    <row r="83" spans="1:9" s="1" customFormat="1" x14ac:dyDescent="0.25">
      <c r="A83" s="5"/>
      <c r="B83" s="8" t="s">
        <v>98</v>
      </c>
      <c r="C83" s="13">
        <v>0</v>
      </c>
      <c r="D83" s="13">
        <v>128.91999999999999</v>
      </c>
      <c r="E83" s="13">
        <v>6973.66</v>
      </c>
      <c r="F83" s="13">
        <v>5573.3899999999994</v>
      </c>
      <c r="G83" s="31">
        <v>12675.97</v>
      </c>
      <c r="H83" s="31">
        <v>0</v>
      </c>
      <c r="I83" s="2"/>
    </row>
    <row r="84" spans="1:9" s="1" customFormat="1" x14ac:dyDescent="0.25">
      <c r="A84" s="5"/>
      <c r="B84" s="8" t="s">
        <v>99</v>
      </c>
      <c r="C84" s="13">
        <v>0</v>
      </c>
      <c r="D84" s="13">
        <v>0</v>
      </c>
      <c r="E84" s="13">
        <v>1355.64</v>
      </c>
      <c r="F84" s="13">
        <v>0</v>
      </c>
      <c r="G84" s="31">
        <v>1355.64</v>
      </c>
      <c r="H84" s="31">
        <v>0</v>
      </c>
      <c r="I84" s="2"/>
    </row>
    <row r="85" spans="1:9" s="1" customFormat="1" x14ac:dyDescent="0.25">
      <c r="A85" s="5"/>
      <c r="B85" s="8" t="s">
        <v>100</v>
      </c>
      <c r="C85" s="13">
        <v>0</v>
      </c>
      <c r="D85" s="13">
        <v>0</v>
      </c>
      <c r="E85" s="13">
        <v>352.58</v>
      </c>
      <c r="F85" s="13">
        <v>0</v>
      </c>
      <c r="G85" s="31">
        <v>352.58</v>
      </c>
      <c r="H85" s="31">
        <v>0</v>
      </c>
      <c r="I85" s="2"/>
    </row>
    <row r="86" spans="1:9" s="1" customFormat="1" x14ac:dyDescent="0.25">
      <c r="A86" s="5"/>
      <c r="B86" s="8" t="s">
        <v>101</v>
      </c>
      <c r="C86" s="13">
        <v>0</v>
      </c>
      <c r="D86" s="13">
        <v>0</v>
      </c>
      <c r="E86" s="13">
        <v>1182.4099999999999</v>
      </c>
      <c r="F86" s="13">
        <v>0</v>
      </c>
      <c r="G86" s="31">
        <v>1182.4099999999999</v>
      </c>
      <c r="H86" s="31">
        <v>0</v>
      </c>
      <c r="I86" s="2"/>
    </row>
    <row r="87" spans="1:9" s="1" customFormat="1" x14ac:dyDescent="0.25">
      <c r="A87" s="5"/>
      <c r="B87" s="8" t="s">
        <v>102</v>
      </c>
      <c r="C87" s="13">
        <v>6443.82</v>
      </c>
      <c r="D87" s="13">
        <v>668.7</v>
      </c>
      <c r="E87" s="13">
        <v>6094.38</v>
      </c>
      <c r="F87" s="13">
        <v>5752.2599999999993</v>
      </c>
      <c r="G87" s="31">
        <v>18959.16</v>
      </c>
      <c r="H87" s="31">
        <v>0</v>
      </c>
      <c r="I87" s="2"/>
    </row>
    <row r="88" spans="1:9" s="1" customFormat="1" x14ac:dyDescent="0.25">
      <c r="A88" s="5"/>
      <c r="B88" s="8" t="s">
        <v>103</v>
      </c>
      <c r="C88" s="13">
        <v>0</v>
      </c>
      <c r="D88" s="13">
        <v>0</v>
      </c>
      <c r="E88" s="13">
        <v>1419.25</v>
      </c>
      <c r="F88" s="13">
        <v>1050.98</v>
      </c>
      <c r="G88" s="31">
        <v>2470.23</v>
      </c>
      <c r="H88" s="34">
        <v>1441</v>
      </c>
      <c r="I88" s="2"/>
    </row>
    <row r="89" spans="1:9" s="1" customFormat="1" x14ac:dyDescent="0.25">
      <c r="A89" s="5"/>
      <c r="B89" s="8" t="s">
        <v>104</v>
      </c>
      <c r="C89" s="13">
        <v>0</v>
      </c>
      <c r="D89" s="13">
        <v>0</v>
      </c>
      <c r="E89" s="13">
        <v>801.41</v>
      </c>
      <c r="F89" s="13">
        <v>0</v>
      </c>
      <c r="G89" s="31">
        <v>801.41</v>
      </c>
      <c r="H89" s="31">
        <v>0</v>
      </c>
      <c r="I89" s="2"/>
    </row>
    <row r="90" spans="1:9" s="1" customFormat="1" x14ac:dyDescent="0.25">
      <c r="A90" s="5"/>
      <c r="B90" s="8" t="s">
        <v>105</v>
      </c>
      <c r="C90" s="13">
        <v>0</v>
      </c>
      <c r="D90" s="13">
        <v>0</v>
      </c>
      <c r="E90" s="13">
        <v>0</v>
      </c>
      <c r="F90" s="13">
        <v>0</v>
      </c>
      <c r="G90" s="31">
        <v>0</v>
      </c>
      <c r="H90" s="31">
        <v>0</v>
      </c>
      <c r="I90" s="2"/>
    </row>
    <row r="91" spans="1:9" s="1" customFormat="1" x14ac:dyDescent="0.25">
      <c r="A91" s="5"/>
      <c r="B91" s="8" t="s">
        <v>106</v>
      </c>
      <c r="C91" s="13">
        <v>0</v>
      </c>
      <c r="D91" s="13">
        <v>0</v>
      </c>
      <c r="E91" s="13">
        <v>272.73</v>
      </c>
      <c r="F91" s="13">
        <v>0</v>
      </c>
      <c r="G91" s="31">
        <v>272.73</v>
      </c>
      <c r="H91" s="31">
        <v>0</v>
      </c>
      <c r="I91" s="2"/>
    </row>
    <row r="92" spans="1:9" s="1" customFormat="1" x14ac:dyDescent="0.25">
      <c r="A92" s="5"/>
      <c r="B92" s="8" t="s">
        <v>107</v>
      </c>
      <c r="C92" s="13">
        <v>6443.82</v>
      </c>
      <c r="D92" s="13">
        <v>802.45</v>
      </c>
      <c r="E92" s="13">
        <v>8362.33</v>
      </c>
      <c r="F92" s="13">
        <v>8375.89</v>
      </c>
      <c r="G92" s="31">
        <v>23984.489999999998</v>
      </c>
      <c r="H92" s="31">
        <v>0</v>
      </c>
      <c r="I92" s="2"/>
    </row>
    <row r="93" spans="1:9" s="1" customFormat="1" x14ac:dyDescent="0.25">
      <c r="A93" s="5"/>
      <c r="B93" s="8" t="s">
        <v>108</v>
      </c>
      <c r="C93" s="13">
        <v>4510.68</v>
      </c>
      <c r="D93" s="13">
        <v>259.13</v>
      </c>
      <c r="E93" s="13">
        <v>4828</v>
      </c>
      <c r="F93" s="13">
        <v>5391.1</v>
      </c>
      <c r="G93" s="31">
        <v>14988.910000000002</v>
      </c>
      <c r="H93" s="31">
        <v>0</v>
      </c>
      <c r="I93" s="2"/>
    </row>
    <row r="94" spans="1:9" s="1" customFormat="1" x14ac:dyDescent="0.25">
      <c r="A94" s="5"/>
      <c r="B94" s="8" t="s">
        <v>109</v>
      </c>
      <c r="C94" s="13">
        <v>6443.82</v>
      </c>
      <c r="D94" s="13">
        <v>160</v>
      </c>
      <c r="E94" s="13">
        <v>4433.9400000000005</v>
      </c>
      <c r="F94" s="13">
        <v>3988.45</v>
      </c>
      <c r="G94" s="31">
        <v>15026.21</v>
      </c>
      <c r="H94" s="31">
        <v>0</v>
      </c>
      <c r="I94" s="2"/>
    </row>
    <row r="95" spans="1:9" s="1" customFormat="1" x14ac:dyDescent="0.25">
      <c r="A95" s="5"/>
      <c r="B95" s="8" t="s">
        <v>110</v>
      </c>
      <c r="C95" s="13">
        <v>0</v>
      </c>
      <c r="D95" s="13">
        <v>0</v>
      </c>
      <c r="E95" s="13">
        <v>1287.9000000000001</v>
      </c>
      <c r="F95" s="13">
        <v>0</v>
      </c>
      <c r="G95" s="31">
        <v>1287.9000000000001</v>
      </c>
      <c r="H95" s="31">
        <v>0</v>
      </c>
      <c r="I95" s="2"/>
    </row>
    <row r="96" spans="1:9" s="1" customFormat="1" x14ac:dyDescent="0.25">
      <c r="A96" s="5"/>
      <c r="B96" s="8" t="s">
        <v>111</v>
      </c>
      <c r="C96" s="13">
        <v>2313.0300000000002</v>
      </c>
      <c r="D96" s="13">
        <v>278.26</v>
      </c>
      <c r="E96" s="13">
        <v>3643.59</v>
      </c>
      <c r="F96" s="13">
        <v>1216.1600000000001</v>
      </c>
      <c r="G96" s="31">
        <v>7451.04</v>
      </c>
      <c r="H96" s="31">
        <v>0</v>
      </c>
      <c r="I96" s="2"/>
    </row>
    <row r="97" spans="1:9" s="1" customFormat="1" x14ac:dyDescent="0.25">
      <c r="A97" s="5"/>
      <c r="B97" s="8" t="s">
        <v>112</v>
      </c>
      <c r="C97" s="13">
        <v>0</v>
      </c>
      <c r="D97" s="13">
        <v>0</v>
      </c>
      <c r="E97" s="13">
        <v>1529.93</v>
      </c>
      <c r="F97" s="13">
        <v>0</v>
      </c>
      <c r="G97" s="31">
        <v>1529.93</v>
      </c>
      <c r="H97" s="31">
        <v>0</v>
      </c>
      <c r="I97" s="2"/>
    </row>
    <row r="98" spans="1:9" s="1" customFormat="1" x14ac:dyDescent="0.25">
      <c r="A98" s="5"/>
      <c r="B98" s="8" t="s">
        <v>113</v>
      </c>
      <c r="C98" s="13">
        <v>0</v>
      </c>
      <c r="D98" s="13">
        <v>0</v>
      </c>
      <c r="E98" s="13">
        <v>0</v>
      </c>
      <c r="F98" s="13">
        <v>0</v>
      </c>
      <c r="G98" s="31">
        <v>0</v>
      </c>
      <c r="H98" s="31">
        <v>0</v>
      </c>
      <c r="I98" s="2"/>
    </row>
    <row r="99" spans="1:9" s="1" customFormat="1" x14ac:dyDescent="0.25">
      <c r="A99" s="5"/>
      <c r="B99" s="8" t="s">
        <v>114</v>
      </c>
      <c r="C99" s="13">
        <v>6443.82</v>
      </c>
      <c r="D99" s="13">
        <v>273.91000000000003</v>
      </c>
      <c r="E99" s="13">
        <v>2502.11</v>
      </c>
      <c r="F99" s="13">
        <v>4704.8100000000004</v>
      </c>
      <c r="G99" s="31">
        <v>13924.650000000001</v>
      </c>
      <c r="H99" s="31">
        <v>0</v>
      </c>
      <c r="I99" s="2"/>
    </row>
    <row r="100" spans="1:9" s="1" customFormat="1" x14ac:dyDescent="0.25">
      <c r="A100" s="5"/>
      <c r="B100" s="8" t="s">
        <v>115</v>
      </c>
      <c r="C100" s="13">
        <v>6443.82</v>
      </c>
      <c r="D100" s="13">
        <v>740.6</v>
      </c>
      <c r="E100" s="13">
        <v>3569.35</v>
      </c>
      <c r="F100" s="13">
        <v>2888.44</v>
      </c>
      <c r="G100" s="31">
        <v>13642.210000000001</v>
      </c>
      <c r="H100" s="31">
        <v>0</v>
      </c>
      <c r="I100" s="2"/>
    </row>
    <row r="101" spans="1:9" s="1" customFormat="1" x14ac:dyDescent="0.25">
      <c r="A101" s="5"/>
      <c r="B101" s="8" t="s">
        <v>116</v>
      </c>
      <c r="C101" s="13">
        <v>4510.68</v>
      </c>
      <c r="D101" s="13">
        <v>610.87</v>
      </c>
      <c r="E101" s="13">
        <v>7853.25</v>
      </c>
      <c r="F101" s="13">
        <v>2453.81</v>
      </c>
      <c r="G101" s="31">
        <v>15428.609999999999</v>
      </c>
      <c r="H101" s="31">
        <v>0</v>
      </c>
      <c r="I101" s="2"/>
    </row>
    <row r="102" spans="1:9" s="1" customFormat="1" x14ac:dyDescent="0.25">
      <c r="A102" s="5"/>
      <c r="B102" s="8" t="s">
        <v>117</v>
      </c>
      <c r="C102" s="13">
        <v>6443.82</v>
      </c>
      <c r="D102" s="13">
        <v>291.3</v>
      </c>
      <c r="E102" s="13">
        <v>6011.06</v>
      </c>
      <c r="F102" s="13">
        <v>2865.07</v>
      </c>
      <c r="G102" s="31">
        <v>15611.25</v>
      </c>
      <c r="H102" s="31">
        <v>0</v>
      </c>
      <c r="I102" s="2"/>
    </row>
    <row r="103" spans="1:9" s="1" customFormat="1" x14ac:dyDescent="0.25">
      <c r="A103" s="5"/>
      <c r="B103" s="8" t="s">
        <v>118</v>
      </c>
      <c r="C103" s="13">
        <v>6443.82</v>
      </c>
      <c r="D103" s="13">
        <v>0</v>
      </c>
      <c r="E103" s="13">
        <v>5595.98</v>
      </c>
      <c r="F103" s="13">
        <v>1678.8400000000001</v>
      </c>
      <c r="G103" s="31">
        <v>13718.64</v>
      </c>
      <c r="H103" s="31">
        <v>0</v>
      </c>
      <c r="I103" s="2"/>
    </row>
    <row r="104" spans="1:9" s="1" customFormat="1" x14ac:dyDescent="0.25">
      <c r="A104" s="5"/>
      <c r="B104" s="8" t="s">
        <v>119</v>
      </c>
      <c r="C104" s="13">
        <v>6443.82</v>
      </c>
      <c r="D104" s="13">
        <v>152.16999999999999</v>
      </c>
      <c r="E104" s="13">
        <v>3288.3</v>
      </c>
      <c r="F104" s="13">
        <v>3794.13</v>
      </c>
      <c r="G104" s="31">
        <v>13678.420000000002</v>
      </c>
      <c r="H104" s="31">
        <v>0</v>
      </c>
      <c r="I104" s="2"/>
    </row>
    <row r="105" spans="1:9" s="1" customFormat="1" x14ac:dyDescent="0.25">
      <c r="A105" s="5"/>
      <c r="B105" s="8" t="s">
        <v>120</v>
      </c>
      <c r="C105" s="13">
        <v>0</v>
      </c>
      <c r="D105" s="13">
        <v>0</v>
      </c>
      <c r="E105" s="13">
        <v>1037.49</v>
      </c>
      <c r="F105" s="13">
        <v>0</v>
      </c>
      <c r="G105" s="31">
        <v>1037.49</v>
      </c>
      <c r="H105" s="31">
        <v>0</v>
      </c>
      <c r="I105" s="2"/>
    </row>
    <row r="106" spans="1:9" s="1" customFormat="1" x14ac:dyDescent="0.25">
      <c r="A106" s="5"/>
      <c r="B106" s="8" t="s">
        <v>121</v>
      </c>
      <c r="C106" s="13">
        <v>6443.82</v>
      </c>
      <c r="D106" s="13">
        <v>0</v>
      </c>
      <c r="E106" s="13">
        <v>4934.79</v>
      </c>
      <c r="F106" s="13">
        <v>2033.54</v>
      </c>
      <c r="G106" s="31">
        <v>13412.150000000001</v>
      </c>
      <c r="H106" s="31">
        <v>0</v>
      </c>
      <c r="I106" s="2"/>
    </row>
    <row r="107" spans="1:9" s="1" customFormat="1" x14ac:dyDescent="0.25">
      <c r="A107" s="5"/>
      <c r="B107" s="8" t="s">
        <v>122</v>
      </c>
      <c r="C107" s="13">
        <v>0</v>
      </c>
      <c r="D107" s="13">
        <v>1195.6500000000001</v>
      </c>
      <c r="E107" s="13">
        <v>5358.7199999999993</v>
      </c>
      <c r="F107" s="13">
        <v>2703.14</v>
      </c>
      <c r="G107" s="31">
        <v>9257.5099999999984</v>
      </c>
      <c r="H107" s="31">
        <v>0</v>
      </c>
      <c r="I107" s="2"/>
    </row>
    <row r="108" spans="1:9" s="1" customFormat="1" x14ac:dyDescent="0.25">
      <c r="A108" s="5"/>
      <c r="B108" s="8" t="s">
        <v>123</v>
      </c>
      <c r="C108" s="13">
        <v>6443.82</v>
      </c>
      <c r="D108" s="13">
        <v>878.26</v>
      </c>
      <c r="E108" s="13">
        <v>3842.7000000000003</v>
      </c>
      <c r="F108" s="13">
        <v>5505.99</v>
      </c>
      <c r="G108" s="31">
        <v>16670.77</v>
      </c>
      <c r="H108" s="31">
        <v>0</v>
      </c>
      <c r="I108" s="2"/>
    </row>
    <row r="109" spans="1:9" s="1" customFormat="1" x14ac:dyDescent="0.25">
      <c r="A109" s="5"/>
      <c r="B109" s="8" t="s">
        <v>124</v>
      </c>
      <c r="C109" s="13">
        <v>4510.68</v>
      </c>
      <c r="D109" s="13">
        <v>0</v>
      </c>
      <c r="E109" s="13">
        <v>3325.4500000000003</v>
      </c>
      <c r="F109" s="13">
        <v>5909.74</v>
      </c>
      <c r="G109" s="31">
        <v>13745.87</v>
      </c>
      <c r="H109" s="31">
        <v>0</v>
      </c>
      <c r="I109" s="2"/>
    </row>
    <row r="110" spans="1:9" s="1" customFormat="1" x14ac:dyDescent="0.25">
      <c r="A110" s="5"/>
      <c r="B110" s="8" t="s">
        <v>125</v>
      </c>
      <c r="C110" s="13">
        <v>0</v>
      </c>
      <c r="D110" s="13">
        <v>121.74</v>
      </c>
      <c r="E110" s="13">
        <v>462.54</v>
      </c>
      <c r="F110" s="13">
        <v>318.59000000000003</v>
      </c>
      <c r="G110" s="31">
        <v>902.87</v>
      </c>
      <c r="H110" s="31">
        <v>0</v>
      </c>
      <c r="I110" s="2"/>
    </row>
    <row r="111" spans="1:9" s="1" customFormat="1" x14ac:dyDescent="0.25">
      <c r="A111" s="5"/>
      <c r="B111" s="8" t="s">
        <v>126</v>
      </c>
      <c r="C111" s="13">
        <v>6443.82</v>
      </c>
      <c r="D111" s="13">
        <v>1352.75</v>
      </c>
      <c r="E111" s="13">
        <v>7366.59</v>
      </c>
      <c r="F111" s="13">
        <v>5243.0300000000007</v>
      </c>
      <c r="G111" s="31">
        <v>20406.190000000002</v>
      </c>
      <c r="H111" s="31">
        <v>0</v>
      </c>
      <c r="I111" s="2"/>
    </row>
    <row r="112" spans="1:9" s="1" customFormat="1" x14ac:dyDescent="0.25">
      <c r="A112" s="5"/>
      <c r="B112" s="8" t="s">
        <v>127</v>
      </c>
      <c r="C112" s="13">
        <v>0</v>
      </c>
      <c r="D112" s="13">
        <v>0</v>
      </c>
      <c r="E112" s="13">
        <v>1448.52</v>
      </c>
      <c r="F112" s="13">
        <v>0</v>
      </c>
      <c r="G112" s="31">
        <v>1448.52</v>
      </c>
      <c r="H112" s="31">
        <v>0</v>
      </c>
      <c r="I112" s="2"/>
    </row>
    <row r="113" spans="1:9" s="1" customFormat="1" x14ac:dyDescent="0.25">
      <c r="A113" s="5"/>
      <c r="B113" s="8" t="s">
        <v>128</v>
      </c>
      <c r="C113" s="13">
        <v>4510.68</v>
      </c>
      <c r="D113" s="13">
        <v>1573</v>
      </c>
      <c r="E113" s="13">
        <v>3080.3500000000004</v>
      </c>
      <c r="F113" s="13">
        <v>3335</v>
      </c>
      <c r="G113" s="31">
        <v>12499</v>
      </c>
      <c r="H113" s="31">
        <v>0</v>
      </c>
      <c r="I113" s="2"/>
    </row>
    <row r="114" spans="1:9" s="1" customFormat="1" x14ac:dyDescent="0.25">
      <c r="A114" s="5"/>
      <c r="B114" s="8" t="s">
        <v>129</v>
      </c>
      <c r="C114" s="13">
        <v>0</v>
      </c>
      <c r="D114" s="13">
        <v>226.09</v>
      </c>
      <c r="E114" s="13">
        <v>4347.7199999999993</v>
      </c>
      <c r="F114" s="13">
        <v>4970.6499999999996</v>
      </c>
      <c r="G114" s="31">
        <v>9544.4599999999991</v>
      </c>
      <c r="H114" s="34">
        <v>12972</v>
      </c>
      <c r="I114" s="2"/>
    </row>
    <row r="115" spans="1:9" s="1" customFormat="1" x14ac:dyDescent="0.25">
      <c r="A115" s="5"/>
      <c r="B115" s="8" t="s">
        <v>130</v>
      </c>
      <c r="C115" s="13">
        <v>0</v>
      </c>
      <c r="D115" s="13">
        <v>0</v>
      </c>
      <c r="E115" s="13">
        <v>0</v>
      </c>
      <c r="F115" s="13">
        <v>0</v>
      </c>
      <c r="G115" s="31">
        <v>0</v>
      </c>
      <c r="H115" s="31">
        <v>0</v>
      </c>
      <c r="I115" s="2"/>
    </row>
    <row r="116" spans="1:9" s="1" customFormat="1" x14ac:dyDescent="0.25">
      <c r="A116" s="5"/>
      <c r="B116" s="8" t="s">
        <v>131</v>
      </c>
      <c r="C116" s="13">
        <v>0</v>
      </c>
      <c r="D116" s="13">
        <v>0</v>
      </c>
      <c r="E116" s="13">
        <v>714.09</v>
      </c>
      <c r="F116" s="13">
        <v>0</v>
      </c>
      <c r="G116" s="31">
        <v>714.09</v>
      </c>
      <c r="H116" s="31">
        <v>0</v>
      </c>
      <c r="I116" s="2"/>
    </row>
    <row r="117" spans="1:9" s="1" customFormat="1" x14ac:dyDescent="0.25">
      <c r="A117" s="5"/>
      <c r="B117" s="8" t="s">
        <v>132</v>
      </c>
      <c r="C117" s="13">
        <v>0</v>
      </c>
      <c r="D117" s="13">
        <v>0</v>
      </c>
      <c r="E117" s="13">
        <v>2181.6799999999998</v>
      </c>
      <c r="F117" s="13">
        <v>0</v>
      </c>
      <c r="G117" s="31">
        <v>2181.6799999999998</v>
      </c>
      <c r="H117" s="31">
        <v>0</v>
      </c>
      <c r="I117" s="2"/>
    </row>
    <row r="118" spans="1:9" s="1" customFormat="1" x14ac:dyDescent="0.25">
      <c r="A118" s="5"/>
      <c r="B118" s="8" t="s">
        <v>133</v>
      </c>
      <c r="C118" s="13">
        <v>6443.82</v>
      </c>
      <c r="D118" s="13">
        <v>0</v>
      </c>
      <c r="E118" s="13">
        <v>3640.7400000000002</v>
      </c>
      <c r="F118" s="13">
        <v>3970.6099999999997</v>
      </c>
      <c r="G118" s="31">
        <v>14055.169999999998</v>
      </c>
      <c r="H118" s="31">
        <v>0</v>
      </c>
      <c r="I118" s="2"/>
    </row>
    <row r="119" spans="1:9" s="1" customFormat="1" x14ac:dyDescent="0.25">
      <c r="A119" s="5"/>
      <c r="B119" s="8" t="s">
        <v>134</v>
      </c>
      <c r="C119" s="13">
        <v>0</v>
      </c>
      <c r="D119" s="13">
        <v>0</v>
      </c>
      <c r="E119" s="13">
        <v>1727.76</v>
      </c>
      <c r="F119" s="13">
        <v>0</v>
      </c>
      <c r="G119" s="31">
        <v>1727.76</v>
      </c>
      <c r="H119" s="31">
        <v>0</v>
      </c>
      <c r="I119" s="2"/>
    </row>
    <row r="120" spans="1:9" s="1" customFormat="1" x14ac:dyDescent="0.25">
      <c r="A120" s="5"/>
      <c r="B120" s="8" t="s">
        <v>135</v>
      </c>
      <c r="C120" s="13">
        <v>2478.25</v>
      </c>
      <c r="D120" s="13">
        <v>167.63</v>
      </c>
      <c r="E120" s="13">
        <v>2638.59</v>
      </c>
      <c r="F120" s="13">
        <v>4064.07</v>
      </c>
      <c r="G120" s="31">
        <v>9348.5400000000009</v>
      </c>
      <c r="H120" s="31">
        <v>0</v>
      </c>
      <c r="I120" s="2"/>
    </row>
    <row r="121" spans="1:9" s="1" customFormat="1" ht="15.75" thickBot="1" x14ac:dyDescent="0.3">
      <c r="A121" s="5"/>
      <c r="B121" s="8" t="s">
        <v>136</v>
      </c>
      <c r="C121" s="13">
        <v>6443.82</v>
      </c>
      <c r="D121" s="13">
        <v>673.04</v>
      </c>
      <c r="E121" s="13">
        <v>4974.7299999999996</v>
      </c>
      <c r="F121" s="13">
        <v>5214.53</v>
      </c>
      <c r="G121" s="31">
        <v>17306.12</v>
      </c>
      <c r="H121" s="31">
        <v>0</v>
      </c>
      <c r="I121" s="2"/>
    </row>
    <row r="122" spans="1:9" s="1" customFormat="1" ht="15.75" thickBot="1" x14ac:dyDescent="0.3">
      <c r="A122" s="9" t="s">
        <v>19</v>
      </c>
      <c r="B122" s="20"/>
      <c r="C122" s="15">
        <v>158404.11000000004</v>
      </c>
      <c r="D122" s="15">
        <v>13364.21</v>
      </c>
      <c r="E122" s="15">
        <v>196349.07000000004</v>
      </c>
      <c r="F122" s="15">
        <v>133702</v>
      </c>
      <c r="G122" s="15">
        <v>501820</v>
      </c>
      <c r="H122" s="15">
        <f>H114+H88+H79+H67+H74</f>
        <v>46123</v>
      </c>
      <c r="I122" s="2"/>
    </row>
    <row r="123" spans="1:9" s="1" customFormat="1" x14ac:dyDescent="0.25">
      <c r="A123" s="3"/>
      <c r="B123" s="12"/>
      <c r="C123" s="17"/>
      <c r="D123" s="17"/>
      <c r="E123" s="17"/>
      <c r="F123" s="17"/>
      <c r="G123" s="32"/>
      <c r="H123" s="22"/>
      <c r="I123" s="2"/>
    </row>
    <row r="124" spans="1:9" s="1" customFormat="1" x14ac:dyDescent="0.25">
      <c r="A124" s="5" t="s">
        <v>20</v>
      </c>
      <c r="B124" s="22" t="s">
        <v>137</v>
      </c>
      <c r="C124" s="13">
        <v>7599.99</v>
      </c>
      <c r="D124" s="13">
        <v>291.3</v>
      </c>
      <c r="E124" s="13">
        <v>7014.59</v>
      </c>
      <c r="F124" s="13">
        <v>1636.29</v>
      </c>
      <c r="G124" s="31">
        <v>16542.170000000002</v>
      </c>
      <c r="H124" s="31">
        <v>0</v>
      </c>
      <c r="I124" s="2"/>
    </row>
    <row r="125" spans="1:9" s="1" customFormat="1" x14ac:dyDescent="0.25">
      <c r="A125" s="5"/>
      <c r="B125" s="22" t="s">
        <v>138</v>
      </c>
      <c r="C125" s="13">
        <v>4510.68</v>
      </c>
      <c r="D125" s="13">
        <v>246.57</v>
      </c>
      <c r="E125" s="13">
        <v>3521.61</v>
      </c>
      <c r="F125" s="13">
        <v>3948.4</v>
      </c>
      <c r="G125" s="31">
        <v>12227.26</v>
      </c>
      <c r="H125" s="31">
        <v>0</v>
      </c>
      <c r="I125" s="2"/>
    </row>
    <row r="126" spans="1:9" s="1" customFormat="1" x14ac:dyDescent="0.25">
      <c r="A126" s="5"/>
      <c r="B126" s="22" t="s">
        <v>139</v>
      </c>
      <c r="C126" s="13">
        <v>328.7</v>
      </c>
      <c r="D126" s="13">
        <v>2894.16</v>
      </c>
      <c r="E126" s="13">
        <v>10579.64</v>
      </c>
      <c r="F126" s="13">
        <v>2482</v>
      </c>
      <c r="G126" s="31">
        <v>16284</v>
      </c>
      <c r="H126" s="31">
        <v>0</v>
      </c>
      <c r="I126" s="2"/>
    </row>
    <row r="127" spans="1:9" s="1" customFormat="1" x14ac:dyDescent="0.25">
      <c r="A127" s="5"/>
      <c r="B127" s="22" t="s">
        <v>140</v>
      </c>
      <c r="C127" s="13">
        <v>6443.82</v>
      </c>
      <c r="D127" s="13">
        <v>946.37</v>
      </c>
      <c r="E127" s="13">
        <v>1914.0900000000001</v>
      </c>
      <c r="F127" s="13">
        <v>6485</v>
      </c>
      <c r="G127" s="31">
        <v>15789.279999999999</v>
      </c>
      <c r="H127" s="31">
        <v>0</v>
      </c>
      <c r="I127" s="2"/>
    </row>
    <row r="128" spans="1:9" s="1" customFormat="1" x14ac:dyDescent="0.25">
      <c r="A128" s="5"/>
      <c r="B128" s="22" t="s">
        <v>141</v>
      </c>
      <c r="C128" s="13">
        <v>4848.2</v>
      </c>
      <c r="D128" s="13">
        <v>0</v>
      </c>
      <c r="E128" s="13">
        <v>3502.1800000000003</v>
      </c>
      <c r="F128" s="13">
        <v>5592.1</v>
      </c>
      <c r="G128" s="31">
        <v>13942.480000000001</v>
      </c>
      <c r="H128" s="34">
        <v>11766</v>
      </c>
      <c r="I128" s="2"/>
    </row>
    <row r="129" spans="1:9" s="1" customFormat="1" x14ac:dyDescent="0.25">
      <c r="A129" s="5"/>
      <c r="B129" s="22" t="s">
        <v>142</v>
      </c>
      <c r="C129" s="13">
        <v>4510.68</v>
      </c>
      <c r="D129" s="13">
        <v>750.01</v>
      </c>
      <c r="E129" s="13">
        <v>8627.9900000000016</v>
      </c>
      <c r="F129" s="13">
        <v>3133.5400000000004</v>
      </c>
      <c r="G129" s="31">
        <v>17022.22</v>
      </c>
      <c r="H129" s="31">
        <v>0</v>
      </c>
      <c r="I129" s="2"/>
    </row>
    <row r="130" spans="1:9" s="1" customFormat="1" x14ac:dyDescent="0.25">
      <c r="A130" s="5"/>
      <c r="B130" s="22" t="s">
        <v>143</v>
      </c>
      <c r="C130" s="13">
        <v>6443.82</v>
      </c>
      <c r="D130" s="13">
        <v>165.22</v>
      </c>
      <c r="E130" s="13">
        <v>3502.4400000000005</v>
      </c>
      <c r="F130" s="13">
        <v>2108.1</v>
      </c>
      <c r="G130" s="31">
        <v>12219.58</v>
      </c>
      <c r="H130" s="31">
        <v>0</v>
      </c>
      <c r="I130" s="2"/>
    </row>
    <row r="131" spans="1:9" s="1" customFormat="1" x14ac:dyDescent="0.25">
      <c r="A131" s="5"/>
      <c r="B131" s="22" t="s">
        <v>144</v>
      </c>
      <c r="C131" s="13">
        <v>6443.82</v>
      </c>
      <c r="D131" s="13">
        <v>191.3</v>
      </c>
      <c r="E131" s="13">
        <v>6219.5599999999995</v>
      </c>
      <c r="F131" s="13">
        <v>1515.98</v>
      </c>
      <c r="G131" s="31">
        <v>14370.66</v>
      </c>
      <c r="H131" s="31">
        <v>0</v>
      </c>
      <c r="I131" s="2"/>
    </row>
    <row r="132" spans="1:9" s="1" customFormat="1" x14ac:dyDescent="0.25">
      <c r="A132" s="5"/>
      <c r="B132" s="22" t="s">
        <v>145</v>
      </c>
      <c r="C132" s="13">
        <v>6443.82</v>
      </c>
      <c r="D132" s="13">
        <v>130.44</v>
      </c>
      <c r="E132" s="13">
        <v>3514.15</v>
      </c>
      <c r="F132" s="13">
        <v>6154.43</v>
      </c>
      <c r="G132" s="31">
        <v>16242.84</v>
      </c>
      <c r="H132" s="31">
        <v>0</v>
      </c>
      <c r="I132" s="2"/>
    </row>
    <row r="133" spans="1:9" s="1" customFormat="1" x14ac:dyDescent="0.25">
      <c r="A133" s="5"/>
      <c r="B133" s="22" t="s">
        <v>146</v>
      </c>
      <c r="C133" s="13">
        <v>6443.82</v>
      </c>
      <c r="D133" s="13">
        <v>295.64999999999998</v>
      </c>
      <c r="E133" s="13">
        <v>5962.92</v>
      </c>
      <c r="F133" s="13">
        <v>2267.56</v>
      </c>
      <c r="G133" s="31">
        <v>14969.949999999999</v>
      </c>
      <c r="H133" s="34">
        <v>12983</v>
      </c>
      <c r="I133" s="2"/>
    </row>
    <row r="134" spans="1:9" s="1" customFormat="1" x14ac:dyDescent="0.25">
      <c r="A134" s="5"/>
      <c r="B134" s="22" t="s">
        <v>147</v>
      </c>
      <c r="C134" s="13">
        <v>6443.82</v>
      </c>
      <c r="D134" s="13">
        <v>0</v>
      </c>
      <c r="E134" s="13">
        <v>3541.63</v>
      </c>
      <c r="F134" s="13">
        <v>2307.1999999999998</v>
      </c>
      <c r="G134" s="31">
        <v>12292.650000000001</v>
      </c>
      <c r="H134" s="31">
        <v>0</v>
      </c>
      <c r="I134" s="2"/>
    </row>
    <row r="135" spans="1:9" s="1" customFormat="1" ht="15.75" thickBot="1" x14ac:dyDescent="0.3">
      <c r="A135" s="4"/>
      <c r="B135" s="22" t="s">
        <v>148</v>
      </c>
      <c r="C135" s="13">
        <v>4510.68</v>
      </c>
      <c r="D135" s="13">
        <v>289.57</v>
      </c>
      <c r="E135" s="13">
        <v>5592.37</v>
      </c>
      <c r="F135" s="13">
        <v>3530.64</v>
      </c>
      <c r="G135" s="31">
        <v>13923.259999999998</v>
      </c>
      <c r="H135" s="31">
        <v>0</v>
      </c>
      <c r="I135" s="2"/>
    </row>
    <row r="136" spans="1:9" s="1" customFormat="1" ht="15.75" thickBot="1" x14ac:dyDescent="0.3">
      <c r="A136" s="9" t="s">
        <v>21</v>
      </c>
      <c r="B136" s="18"/>
      <c r="C136" s="15">
        <v>64971.85</v>
      </c>
      <c r="D136" s="15">
        <v>6200.5899999999992</v>
      </c>
      <c r="E136" s="15">
        <v>63493.170000000006</v>
      </c>
      <c r="F136" s="15">
        <v>41161</v>
      </c>
      <c r="G136" s="15">
        <v>175826</v>
      </c>
      <c r="H136" s="15">
        <f>H133+H128</f>
        <v>24749</v>
      </c>
      <c r="I136" s="2"/>
    </row>
    <row r="137" spans="1:9" s="1" customFormat="1" x14ac:dyDescent="0.25">
      <c r="A137" s="5"/>
      <c r="B137" s="19"/>
      <c r="C137" s="13"/>
      <c r="D137" s="13"/>
      <c r="E137" s="13"/>
      <c r="F137" s="13"/>
      <c r="G137" s="31"/>
      <c r="H137" s="22"/>
      <c r="I137" s="2"/>
    </row>
    <row r="138" spans="1:9" s="1" customFormat="1" ht="15.75" thickBot="1" x14ac:dyDescent="0.3">
      <c r="A138" s="4" t="s">
        <v>22</v>
      </c>
      <c r="B138" s="7" t="s">
        <v>149</v>
      </c>
      <c r="C138" s="23">
        <v>0</v>
      </c>
      <c r="D138" s="23">
        <v>0</v>
      </c>
      <c r="E138" s="23">
        <v>0</v>
      </c>
      <c r="F138" s="23">
        <v>0</v>
      </c>
      <c r="G138" s="33">
        <v>0</v>
      </c>
      <c r="H138" s="31">
        <v>0</v>
      </c>
      <c r="I138" s="2"/>
    </row>
    <row r="139" spans="1:9" s="1" customFormat="1" ht="15.75" thickBot="1" x14ac:dyDescent="0.3">
      <c r="A139" s="4" t="s">
        <v>23</v>
      </c>
      <c r="B139" s="10"/>
      <c r="C139" s="24">
        <v>0</v>
      </c>
      <c r="D139" s="24">
        <v>0</v>
      </c>
      <c r="E139" s="24">
        <v>0</v>
      </c>
      <c r="F139" s="24">
        <v>0</v>
      </c>
      <c r="G139" s="33">
        <v>0</v>
      </c>
      <c r="H139" s="36">
        <v>0</v>
      </c>
      <c r="I139" s="2"/>
    </row>
    <row r="140" spans="1:9" s="1" customFormat="1" ht="15.75" thickBot="1" x14ac:dyDescent="0.3">
      <c r="A140" s="4"/>
      <c r="B140" s="10"/>
      <c r="C140" s="23"/>
      <c r="D140" s="23"/>
      <c r="E140" s="23"/>
      <c r="F140" s="23"/>
      <c r="G140" s="33"/>
      <c r="H140" s="22"/>
      <c r="I140" s="2"/>
    </row>
    <row r="141" spans="1:9" s="1" customFormat="1" ht="15.75" thickBot="1" x14ac:dyDescent="0.3">
      <c r="A141" s="4" t="s">
        <v>5</v>
      </c>
      <c r="B141" s="10"/>
      <c r="C141" s="24">
        <v>407332</v>
      </c>
      <c r="D141" s="24">
        <v>65445</v>
      </c>
      <c r="E141" s="24">
        <v>569330.91</v>
      </c>
      <c r="F141" s="24">
        <v>358016</v>
      </c>
      <c r="G141" s="24">
        <v>1400124</v>
      </c>
      <c r="H141" s="37">
        <f>H136+H122+H57+H23</f>
        <v>104396</v>
      </c>
      <c r="I141" s="2"/>
    </row>
    <row r="143" spans="1:9" ht="32.25" customHeight="1" x14ac:dyDescent="0.25">
      <c r="A143" s="25" t="s">
        <v>24</v>
      </c>
      <c r="B143" s="40" t="s">
        <v>25</v>
      </c>
      <c r="C143" s="40"/>
      <c r="D143" s="40"/>
      <c r="E143" s="40"/>
      <c r="F143" s="40"/>
      <c r="G143" s="40"/>
      <c r="H143" s="40"/>
    </row>
    <row r="145" ht="15.6" customHeight="1" x14ac:dyDescent="0.25"/>
  </sheetData>
  <mergeCells count="8">
    <mergeCell ref="A3:A4"/>
    <mergeCell ref="B143:H143"/>
    <mergeCell ref="A1:H1"/>
    <mergeCell ref="H3:H4"/>
    <mergeCell ref="G3:G4"/>
    <mergeCell ref="E3:F3"/>
    <mergeCell ref="C3:D3"/>
    <mergeCell ref="B3:B4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Parties</vt:lpstr>
    </vt:vector>
  </TitlesOfParts>
  <Company>Parliamentary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Nitschke</dc:creator>
  <cp:lastModifiedBy>Jodie Parsons</cp:lastModifiedBy>
  <dcterms:created xsi:type="dcterms:W3CDTF">2016-04-21T00:21:05Z</dcterms:created>
  <dcterms:modified xsi:type="dcterms:W3CDTF">2016-04-26T23:37:34Z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A1225797</vt:lpwstr>
  </property>
  <property fmtid="{D5CDD505-2E9C-101B-9397-08002B2CF9AE}" pid="4" name="Objective-Title">
    <vt:lpwstr>Members' Expense Disclosure - 1 January to 31 March 2016 [XLSX 24k]</vt:lpwstr>
  </property>
  <property fmtid="{D5CDD505-2E9C-101B-9397-08002B2CF9AE}" pid="5" name="Objective-Comment">
    <vt:lpwstr/>
  </property>
  <property fmtid="{D5CDD505-2E9C-101B-9397-08002B2CF9AE}" pid="6" name="Objective-CreationStamp">
    <vt:filetime>2016-04-27T22:47:27Z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2016-04-27T22:47:27Z</vt:filetime>
  </property>
  <property fmtid="{D5CDD505-2E9C-101B-9397-08002B2CF9AE}" pid="10" name="Objective-ModificationStamp">
    <vt:filetime>2016-04-27T22:47:30Z</vt:filetime>
  </property>
  <property fmtid="{D5CDD505-2E9C-101B-9397-08002B2CF9AE}" pid="11" name="Objective-Owner">
    <vt:lpwstr>Jodie Parsons</vt:lpwstr>
  </property>
  <property fmtid="{D5CDD505-2E9C-101B-9397-08002B2CF9AE}" pid="12" name="Objective-Path">
    <vt:lpwstr>Objective Global Folder:PARLIAMENTARY SERVICE TAXONOMY:Member entitlements and rules:Disclosure of members' expenses:2015/2016 Disclosure of members' expenses:Q3 2015/2016 - January to March 2016 - disclosure of members' expenses:Q3 2015/2016 - Published information - disclosure of members' expenses:</vt:lpwstr>
  </property>
  <property fmtid="{D5CDD505-2E9C-101B-9397-08002B2CF9AE}" pid="13" name="Objective-Parent">
    <vt:lpwstr>Q3 2015/2016 - Published information - disclosure of members' expenses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1.0</vt:lpwstr>
  </property>
  <property fmtid="{D5CDD505-2E9C-101B-9397-08002B2CF9AE}" pid="16" name="Objective-VersionNumber">
    <vt:r8>1</vt:r8>
  </property>
  <property fmtid="{D5CDD505-2E9C-101B-9397-08002B2CF9AE}" pid="17" name="Objective-VersionComment">
    <vt:lpwstr>First version</vt:lpwstr>
  </property>
  <property fmtid="{D5CDD505-2E9C-101B-9397-08002B2CF9AE}" pid="18" name="Objective-FileNumber">
    <vt:lpwstr>PS62681</vt:lpwstr>
  </property>
  <property fmtid="{D5CDD505-2E9C-101B-9397-08002B2CF9AE}" pid="19" name="Objective-Classification">
    <vt:lpwstr>[Inherited - Unclassified]</vt:lpwstr>
  </property>
  <property fmtid="{D5CDD505-2E9C-101B-9397-08002B2CF9AE}" pid="20" name="Objective-Caveats">
    <vt:lpwstr/>
  </property>
</Properties>
</file>