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jade_yang_parliament_govt_nz/Documents/Downloads/"/>
    </mc:Choice>
  </mc:AlternateContent>
  <xr:revisionPtr revIDLastSave="0" documentId="8_{F6FFB5ED-BF0D-413E-AD0E-ED9756DA3A01}" xr6:coauthVersionLast="47" xr6:coauthVersionMax="47" xr10:uidLastSave="{00000000-0000-0000-0000-000000000000}"/>
  <bookViews>
    <workbookView xWindow="-15630" yWindow="-16320" windowWidth="29040" windowHeight="15840" xr2:uid="{08D3A6D6-4293-4908-9B61-4C7D104B0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1" l="1"/>
  <c r="F139" i="1"/>
  <c r="E139" i="1"/>
  <c r="D139" i="1"/>
  <c r="C139" i="1"/>
  <c r="G138" i="1"/>
  <c r="F136" i="1"/>
  <c r="E136" i="1"/>
  <c r="D136" i="1"/>
  <c r="C136" i="1"/>
  <c r="G135" i="1"/>
  <c r="G134" i="1"/>
  <c r="G133" i="1"/>
  <c r="G132" i="1"/>
  <c r="G131" i="1"/>
  <c r="G130" i="1"/>
  <c r="G129" i="1"/>
  <c r="G136" i="1" s="1"/>
  <c r="G128" i="1"/>
  <c r="G127" i="1"/>
  <c r="G126" i="1"/>
  <c r="G125" i="1"/>
  <c r="H123" i="1"/>
  <c r="H141" i="1" s="1"/>
  <c r="F123" i="1"/>
  <c r="E123" i="1"/>
  <c r="D123" i="1"/>
  <c r="C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123" i="1" s="1"/>
  <c r="G61" i="1"/>
  <c r="F61" i="1"/>
  <c r="E61" i="1"/>
  <c r="D61" i="1"/>
  <c r="C61" i="1"/>
  <c r="G60" i="1"/>
  <c r="G59" i="1"/>
  <c r="F57" i="1"/>
  <c r="E57" i="1"/>
  <c r="D57" i="1"/>
  <c r="C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57" i="1" s="1"/>
  <c r="G26" i="1"/>
  <c r="G25" i="1"/>
  <c r="H23" i="1"/>
  <c r="F23" i="1"/>
  <c r="E23" i="1"/>
  <c r="D23" i="1"/>
  <c r="D141" i="1" s="1"/>
  <c r="C23" i="1"/>
  <c r="C141" i="1" s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23" i="1" s="1"/>
  <c r="G7" i="1"/>
  <c r="F7" i="1"/>
  <c r="F141" i="1" s="1"/>
  <c r="E7" i="1"/>
  <c r="E141" i="1" s="1"/>
  <c r="D7" i="1"/>
  <c r="C7" i="1"/>
  <c r="G6" i="1"/>
  <c r="G141" i="1" l="1"/>
</calcChain>
</file>

<file path=xl/sharedStrings.xml><?xml version="1.0" encoding="utf-8"?>
<sst xmlns="http://schemas.openxmlformats.org/spreadsheetml/2006/main" count="263" uniqueCount="147">
  <si>
    <t>Members Expense Disclosure - January to March 2015</t>
  </si>
  <si>
    <t>Party</t>
  </si>
  <si>
    <t>Member</t>
  </si>
  <si>
    <t>Accommodation</t>
  </si>
  <si>
    <t>Travel</t>
  </si>
  <si>
    <t>Grand Total</t>
  </si>
  <si>
    <t>Inter Parliamentary - Office of the Clerk</t>
  </si>
  <si>
    <t>Wellington</t>
  </si>
  <si>
    <t>Non Wellington</t>
  </si>
  <si>
    <t>Air</t>
  </si>
  <si>
    <t>Surface</t>
  </si>
  <si>
    <t>Act</t>
  </si>
  <si>
    <t>Seymour David</t>
  </si>
  <si>
    <t>-</t>
  </si>
  <si>
    <t>Act Total</t>
  </si>
  <si>
    <t>Green</t>
  </si>
  <si>
    <t>Browning Steffan</t>
  </si>
  <si>
    <t>Clendon David</t>
  </si>
  <si>
    <t>Delahunty Catherine</t>
  </si>
  <si>
    <t>Genter Julie-Anne</t>
  </si>
  <si>
    <t>Graham Kennedy</t>
  </si>
  <si>
    <t>Hague Kevin</t>
  </si>
  <si>
    <t>Hughes Gareth</t>
  </si>
  <si>
    <t>Logie Jan</t>
  </si>
  <si>
    <t>Mathers Mojo</t>
  </si>
  <si>
    <t>Norman Russel</t>
  </si>
  <si>
    <t>Roche Denise</t>
  </si>
  <si>
    <t>Sage Eugenie</t>
  </si>
  <si>
    <t>Shaw James</t>
  </si>
  <si>
    <t>Turei Metiria</t>
  </si>
  <si>
    <t>Green Total</t>
  </si>
  <si>
    <t>Labour</t>
  </si>
  <si>
    <t>Ardern Jacinda</t>
  </si>
  <si>
    <t>Clark David</t>
  </si>
  <si>
    <t>Cosgrove Clayton</t>
  </si>
  <si>
    <t>Cunliffe David</t>
  </si>
  <si>
    <t>Curran Clare</t>
  </si>
  <si>
    <t>Davis Kelvin</t>
  </si>
  <si>
    <t>Dyson Ruth</t>
  </si>
  <si>
    <t>Faafoi Kris</t>
  </si>
  <si>
    <t>Goff Phil</t>
  </si>
  <si>
    <t>Henare Peeni</t>
  </si>
  <si>
    <t>Hipkins Chris</t>
  </si>
  <si>
    <t>King Annette</t>
  </si>
  <si>
    <t>Lees-Galloway Iain</t>
  </si>
  <si>
    <t>Little Andrew</t>
  </si>
  <si>
    <t>Mahuta Nanaia</t>
  </si>
  <si>
    <t>Mallard Trevor</t>
  </si>
  <si>
    <t>Moroney Sue</t>
  </si>
  <si>
    <t>Nash Stuart</t>
  </si>
  <si>
    <t>O'Connor Damien</t>
  </si>
  <si>
    <t>Parker David</t>
  </si>
  <si>
    <t>Robertson Grant</t>
  </si>
  <si>
    <t>Rurawhe Adrian</t>
  </si>
  <si>
    <t>Sepuloni Carmel</t>
  </si>
  <si>
    <t>Shearer David</t>
  </si>
  <si>
    <t>Salesa Jenny</t>
  </si>
  <si>
    <t>Sio Su'a William</t>
  </si>
  <si>
    <t>Tirikatene Rino</t>
  </si>
  <si>
    <t>Twyford Phil</t>
  </si>
  <si>
    <t>Wall Louisa</t>
  </si>
  <si>
    <t>Whaitiri Meka</t>
  </si>
  <si>
    <t>Williams Poto</t>
  </si>
  <si>
    <t>Woods Megan</t>
  </si>
  <si>
    <t>Labour Total</t>
  </si>
  <si>
    <t>Maori</t>
  </si>
  <si>
    <t>Flavell Te Ururoa</t>
  </si>
  <si>
    <t>Fox Marama</t>
  </si>
  <si>
    <t>Maori Total</t>
  </si>
  <si>
    <t>National</t>
  </si>
  <si>
    <t>Adams Amy</t>
  </si>
  <si>
    <t>Bakshi Kanwaljit Singh</t>
  </si>
  <si>
    <t>Barclay Todd</t>
  </si>
  <si>
    <t>Barry Maggie</t>
  </si>
  <si>
    <t>Bayly Andrew</t>
  </si>
  <si>
    <t>Bennett David</t>
  </si>
  <si>
    <t>Bennett Paula</t>
  </si>
  <si>
    <t>Bishop Chris</t>
  </si>
  <si>
    <t>Borrows Chester</t>
  </si>
  <si>
    <t>Bridges Simon</t>
  </si>
  <si>
    <t>Brownlee Gerry</t>
  </si>
  <si>
    <t>Carter David</t>
  </si>
  <si>
    <t>Coleman Jonathan</t>
  </si>
  <si>
    <t>Collins Judith</t>
  </si>
  <si>
    <t>Dean Jacqui</t>
  </si>
  <si>
    <t>Doocey Matt</t>
  </si>
  <si>
    <t>Dowie Sarah</t>
  </si>
  <si>
    <t>English Bill</t>
  </si>
  <si>
    <t>Finlayson Chris</t>
  </si>
  <si>
    <t>Foss Craig</t>
  </si>
  <si>
    <t>Foster-Bell Paul</t>
  </si>
  <si>
    <t>Goldsmith Paul</t>
  </si>
  <si>
    <t>Goodhew Jo</t>
  </si>
  <si>
    <t>Groser Tim</t>
  </si>
  <si>
    <t>Guy Nathan</t>
  </si>
  <si>
    <t>Hayes Joanne</t>
  </si>
  <si>
    <t>Hudson Brett</t>
  </si>
  <si>
    <t>Joyce Steven</t>
  </si>
  <si>
    <t>Kaye Nikki</t>
  </si>
  <si>
    <t>Key John</t>
  </si>
  <si>
    <t>Korako Nuk</t>
  </si>
  <si>
    <t>Kuriger Barbara</t>
  </si>
  <si>
    <t>Lee Melissa</t>
  </si>
  <si>
    <t>Lotu-liga Peseta Sam</t>
  </si>
  <si>
    <t>Macindoe Tim</t>
  </si>
  <si>
    <t>McClay Todd</t>
  </si>
  <si>
    <t>McCully Murray</t>
  </si>
  <si>
    <t>McKelvie Ian</t>
  </si>
  <si>
    <t>Mitchell Mark</t>
  </si>
  <si>
    <t>Muller Todd</t>
  </si>
  <si>
    <t>Naylor Jono</t>
  </si>
  <si>
    <t>Ngaro Alfred</t>
  </si>
  <si>
    <t>O'Connor Simon</t>
  </si>
  <si>
    <t>Parata Hekia</t>
  </si>
  <si>
    <t>Parmar Parmjeet</t>
  </si>
  <si>
    <t>Reti Shane</t>
  </si>
  <si>
    <t>Ross Jami-Lee</t>
  </si>
  <si>
    <t>Scott Alastair</t>
  </si>
  <si>
    <t>Sabin Mike</t>
  </si>
  <si>
    <t>Smith Stuart</t>
  </si>
  <si>
    <t>Smith Nick</t>
  </si>
  <si>
    <t>Simpson Scott</t>
  </si>
  <si>
    <t>Tisch Lindsay</t>
  </si>
  <si>
    <t>Tolley Anne</t>
  </si>
  <si>
    <t>Upston Louise</t>
  </si>
  <si>
    <t>Wagner Nicky</t>
  </si>
  <si>
    <t>Williamson Maurice</t>
  </si>
  <si>
    <t>Woodhouse Michael</t>
  </si>
  <si>
    <t>Yang Jian</t>
  </si>
  <si>
    <t>Young Jonathan</t>
  </si>
  <si>
    <t>National Total</t>
  </si>
  <si>
    <t>New Zealand First</t>
  </si>
  <si>
    <t>Ball Darroch</t>
  </si>
  <si>
    <t>Bindra Mahesh</t>
  </si>
  <si>
    <t>Mark Ron</t>
  </si>
  <si>
    <t>Martin Tracey</t>
  </si>
  <si>
    <t>Mitchell Clayton</t>
  </si>
  <si>
    <t>O'Rourke Denis</t>
  </si>
  <si>
    <t>Paraone Pita</t>
  </si>
  <si>
    <t>Peters Winston</t>
  </si>
  <si>
    <t>Prosser Richard</t>
  </si>
  <si>
    <t>Stewart Barbara</t>
  </si>
  <si>
    <t>Tabuteau Fletcher</t>
  </si>
  <si>
    <t>New Zealand First Total</t>
  </si>
  <si>
    <t>United Future</t>
  </si>
  <si>
    <t>Dunne Peter</t>
  </si>
  <si>
    <t>United Future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</si>
</sst>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3" fillId="2" borderId="0" xfId="0" applyFont="1" applyFill="1" applyAlignment="1">
      <alignment horizontal="center" wrapText="1"/>
    </xf>
    <xf numFmtId="3" fontId="0" fillId="0" borderId="0" xfId="0" applyNumberFormat="1"/>
    <xf numFmtId="0" fontId="0" fillId="2" borderId="0" xfId="0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 wrapText="1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 wrapText="1"/>
    </xf>
    <xf numFmtId="0" fontId="2" fillId="2" borderId="5" xfId="0" applyFont="1" applyFill="1" applyBorder="1"/>
    <xf numFmtId="0" fontId="2" fillId="2" borderId="6" xfId="0" applyFont="1" applyFill="1" applyBorder="1"/>
    <xf numFmtId="3" fontId="0" fillId="0" borderId="5" xfId="0" applyNumberFormat="1" applyBorder="1"/>
    <xf numFmtId="164" fontId="1" fillId="2" borderId="3" xfId="1" applyNumberFormat="1" applyFont="1" applyFill="1" applyBorder="1"/>
    <xf numFmtId="164" fontId="1" fillId="2" borderId="5" xfId="1" applyNumberFormat="1" applyFont="1" applyFill="1" applyBorder="1"/>
    <xf numFmtId="3" fontId="0" fillId="0" borderId="3" xfId="0" applyNumberFormat="1" applyBorder="1" applyAlignment="1">
      <alignment horizontal="right"/>
    </xf>
    <xf numFmtId="0" fontId="2" fillId="2" borderId="7" xfId="0" applyFont="1" applyFill="1" applyBorder="1"/>
    <xf numFmtId="0" fontId="0" fillId="2" borderId="4" xfId="0" applyFill="1" applyBorder="1"/>
    <xf numFmtId="164" fontId="2" fillId="2" borderId="7" xfId="1" applyNumberFormat="1" applyFont="1" applyFill="1" applyBorder="1"/>
    <xf numFmtId="3" fontId="0" fillId="0" borderId="7" xfId="0" applyNumberFormat="1" applyBorder="1" applyAlignment="1">
      <alignment horizontal="right"/>
    </xf>
    <xf numFmtId="0" fontId="0" fillId="2" borderId="6" xfId="0" applyFill="1" applyBorder="1"/>
    <xf numFmtId="164" fontId="2" fillId="2" borderId="5" xfId="1" applyNumberFormat="1" applyFont="1" applyFill="1" applyBorder="1"/>
    <xf numFmtId="3" fontId="0" fillId="0" borderId="5" xfId="0" applyNumberFormat="1" applyBorder="1" applyAlignment="1">
      <alignment horizontal="right"/>
    </xf>
    <xf numFmtId="165" fontId="1" fillId="2" borderId="5" xfId="1" applyNumberFormat="1" applyFont="1" applyFill="1" applyBorder="1"/>
    <xf numFmtId="164" fontId="1" fillId="2" borderId="8" xfId="1" applyNumberFormat="1" applyFont="1" applyFill="1" applyBorder="1"/>
    <xf numFmtId="165" fontId="2" fillId="2" borderId="7" xfId="1" applyNumberFormat="1" applyFont="1" applyFill="1" applyBorder="1"/>
    <xf numFmtId="3" fontId="2" fillId="0" borderId="7" xfId="0" applyNumberFormat="1" applyFont="1" applyBorder="1" applyAlignment="1">
      <alignment horizontal="right"/>
    </xf>
    <xf numFmtId="164" fontId="1" fillId="2" borderId="9" xfId="1" applyNumberFormat="1" applyFont="1" applyFill="1" applyBorder="1"/>
    <xf numFmtId="165" fontId="1" fillId="2" borderId="1" xfId="1" applyNumberFormat="1" applyFont="1" applyFill="1" applyBorder="1"/>
    <xf numFmtId="165" fontId="2" fillId="2" borderId="5" xfId="1" applyNumberFormat="1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2" xfId="0" applyFill="1" applyBorder="1"/>
    <xf numFmtId="165" fontId="2" fillId="2" borderId="1" xfId="1" applyNumberFormat="1" applyFont="1" applyFill="1" applyBorder="1"/>
    <xf numFmtId="0" fontId="0" fillId="2" borderId="5" xfId="0" applyFill="1" applyBorder="1"/>
    <xf numFmtId="165" fontId="1" fillId="2" borderId="3" xfId="1" applyNumberFormat="1" applyFont="1" applyFill="1" applyBorder="1"/>
    <xf numFmtId="165" fontId="2" fillId="2" borderId="3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2716-D6C7-4B5D-AA07-F5B34CC56492}">
  <dimension ref="A1:H141"/>
  <sheetViews>
    <sheetView tabSelected="1" workbookViewId="0">
      <selection activeCell="A3" sqref="A3"/>
    </sheetView>
  </sheetViews>
  <sheetFormatPr defaultRowHeight="14.5" x14ac:dyDescent="0.35"/>
  <cols>
    <col min="1" max="2" width="21.453125" customWidth="1"/>
    <col min="3" max="5" width="15.7265625" customWidth="1"/>
    <col min="6" max="7" width="13.26953125" customWidth="1"/>
    <col min="8" max="8" width="16.81640625" style="2" customWidth="1"/>
    <col min="257" max="258" width="21.453125" customWidth="1"/>
    <col min="259" max="261" width="15.7265625" customWidth="1"/>
    <col min="262" max="263" width="13.26953125" customWidth="1"/>
    <col min="264" max="264" width="16.81640625" customWidth="1"/>
    <col min="513" max="514" width="21.453125" customWidth="1"/>
    <col min="515" max="517" width="15.7265625" customWidth="1"/>
    <col min="518" max="519" width="13.26953125" customWidth="1"/>
    <col min="520" max="520" width="16.81640625" customWidth="1"/>
    <col min="769" max="770" width="21.453125" customWidth="1"/>
    <col min="771" max="773" width="15.7265625" customWidth="1"/>
    <col min="774" max="775" width="13.26953125" customWidth="1"/>
    <col min="776" max="776" width="16.81640625" customWidth="1"/>
    <col min="1025" max="1026" width="21.453125" customWidth="1"/>
    <col min="1027" max="1029" width="15.7265625" customWidth="1"/>
    <col min="1030" max="1031" width="13.26953125" customWidth="1"/>
    <col min="1032" max="1032" width="16.81640625" customWidth="1"/>
    <col min="1281" max="1282" width="21.453125" customWidth="1"/>
    <col min="1283" max="1285" width="15.7265625" customWidth="1"/>
    <col min="1286" max="1287" width="13.26953125" customWidth="1"/>
    <col min="1288" max="1288" width="16.81640625" customWidth="1"/>
    <col min="1537" max="1538" width="21.453125" customWidth="1"/>
    <col min="1539" max="1541" width="15.7265625" customWidth="1"/>
    <col min="1542" max="1543" width="13.26953125" customWidth="1"/>
    <col min="1544" max="1544" width="16.81640625" customWidth="1"/>
    <col min="1793" max="1794" width="21.453125" customWidth="1"/>
    <col min="1795" max="1797" width="15.7265625" customWidth="1"/>
    <col min="1798" max="1799" width="13.26953125" customWidth="1"/>
    <col min="1800" max="1800" width="16.81640625" customWidth="1"/>
    <col min="2049" max="2050" width="21.453125" customWidth="1"/>
    <col min="2051" max="2053" width="15.7265625" customWidth="1"/>
    <col min="2054" max="2055" width="13.26953125" customWidth="1"/>
    <col min="2056" max="2056" width="16.81640625" customWidth="1"/>
    <col min="2305" max="2306" width="21.453125" customWidth="1"/>
    <col min="2307" max="2309" width="15.7265625" customWidth="1"/>
    <col min="2310" max="2311" width="13.26953125" customWidth="1"/>
    <col min="2312" max="2312" width="16.81640625" customWidth="1"/>
    <col min="2561" max="2562" width="21.453125" customWidth="1"/>
    <col min="2563" max="2565" width="15.7265625" customWidth="1"/>
    <col min="2566" max="2567" width="13.26953125" customWidth="1"/>
    <col min="2568" max="2568" width="16.81640625" customWidth="1"/>
    <col min="2817" max="2818" width="21.453125" customWidth="1"/>
    <col min="2819" max="2821" width="15.7265625" customWidth="1"/>
    <col min="2822" max="2823" width="13.26953125" customWidth="1"/>
    <col min="2824" max="2824" width="16.81640625" customWidth="1"/>
    <col min="3073" max="3074" width="21.453125" customWidth="1"/>
    <col min="3075" max="3077" width="15.7265625" customWidth="1"/>
    <col min="3078" max="3079" width="13.26953125" customWidth="1"/>
    <col min="3080" max="3080" width="16.81640625" customWidth="1"/>
    <col min="3329" max="3330" width="21.453125" customWidth="1"/>
    <col min="3331" max="3333" width="15.7265625" customWidth="1"/>
    <col min="3334" max="3335" width="13.26953125" customWidth="1"/>
    <col min="3336" max="3336" width="16.81640625" customWidth="1"/>
    <col min="3585" max="3586" width="21.453125" customWidth="1"/>
    <col min="3587" max="3589" width="15.7265625" customWidth="1"/>
    <col min="3590" max="3591" width="13.26953125" customWidth="1"/>
    <col min="3592" max="3592" width="16.81640625" customWidth="1"/>
    <col min="3841" max="3842" width="21.453125" customWidth="1"/>
    <col min="3843" max="3845" width="15.7265625" customWidth="1"/>
    <col min="3846" max="3847" width="13.26953125" customWidth="1"/>
    <col min="3848" max="3848" width="16.81640625" customWidth="1"/>
    <col min="4097" max="4098" width="21.453125" customWidth="1"/>
    <col min="4099" max="4101" width="15.7265625" customWidth="1"/>
    <col min="4102" max="4103" width="13.26953125" customWidth="1"/>
    <col min="4104" max="4104" width="16.81640625" customWidth="1"/>
    <col min="4353" max="4354" width="21.453125" customWidth="1"/>
    <col min="4355" max="4357" width="15.7265625" customWidth="1"/>
    <col min="4358" max="4359" width="13.26953125" customWidth="1"/>
    <col min="4360" max="4360" width="16.81640625" customWidth="1"/>
    <col min="4609" max="4610" width="21.453125" customWidth="1"/>
    <col min="4611" max="4613" width="15.7265625" customWidth="1"/>
    <col min="4614" max="4615" width="13.26953125" customWidth="1"/>
    <col min="4616" max="4616" width="16.81640625" customWidth="1"/>
    <col min="4865" max="4866" width="21.453125" customWidth="1"/>
    <col min="4867" max="4869" width="15.7265625" customWidth="1"/>
    <col min="4870" max="4871" width="13.26953125" customWidth="1"/>
    <col min="4872" max="4872" width="16.81640625" customWidth="1"/>
    <col min="5121" max="5122" width="21.453125" customWidth="1"/>
    <col min="5123" max="5125" width="15.7265625" customWidth="1"/>
    <col min="5126" max="5127" width="13.26953125" customWidth="1"/>
    <col min="5128" max="5128" width="16.81640625" customWidth="1"/>
    <col min="5377" max="5378" width="21.453125" customWidth="1"/>
    <col min="5379" max="5381" width="15.7265625" customWidth="1"/>
    <col min="5382" max="5383" width="13.26953125" customWidth="1"/>
    <col min="5384" max="5384" width="16.81640625" customWidth="1"/>
    <col min="5633" max="5634" width="21.453125" customWidth="1"/>
    <col min="5635" max="5637" width="15.7265625" customWidth="1"/>
    <col min="5638" max="5639" width="13.26953125" customWidth="1"/>
    <col min="5640" max="5640" width="16.81640625" customWidth="1"/>
    <col min="5889" max="5890" width="21.453125" customWidth="1"/>
    <col min="5891" max="5893" width="15.7265625" customWidth="1"/>
    <col min="5894" max="5895" width="13.26953125" customWidth="1"/>
    <col min="5896" max="5896" width="16.81640625" customWidth="1"/>
    <col min="6145" max="6146" width="21.453125" customWidth="1"/>
    <col min="6147" max="6149" width="15.7265625" customWidth="1"/>
    <col min="6150" max="6151" width="13.26953125" customWidth="1"/>
    <col min="6152" max="6152" width="16.81640625" customWidth="1"/>
    <col min="6401" max="6402" width="21.453125" customWidth="1"/>
    <col min="6403" max="6405" width="15.7265625" customWidth="1"/>
    <col min="6406" max="6407" width="13.26953125" customWidth="1"/>
    <col min="6408" max="6408" width="16.81640625" customWidth="1"/>
    <col min="6657" max="6658" width="21.453125" customWidth="1"/>
    <col min="6659" max="6661" width="15.7265625" customWidth="1"/>
    <col min="6662" max="6663" width="13.26953125" customWidth="1"/>
    <col min="6664" max="6664" width="16.81640625" customWidth="1"/>
    <col min="6913" max="6914" width="21.453125" customWidth="1"/>
    <col min="6915" max="6917" width="15.7265625" customWidth="1"/>
    <col min="6918" max="6919" width="13.26953125" customWidth="1"/>
    <col min="6920" max="6920" width="16.81640625" customWidth="1"/>
    <col min="7169" max="7170" width="21.453125" customWidth="1"/>
    <col min="7171" max="7173" width="15.7265625" customWidth="1"/>
    <col min="7174" max="7175" width="13.26953125" customWidth="1"/>
    <col min="7176" max="7176" width="16.81640625" customWidth="1"/>
    <col min="7425" max="7426" width="21.453125" customWidth="1"/>
    <col min="7427" max="7429" width="15.7265625" customWidth="1"/>
    <col min="7430" max="7431" width="13.26953125" customWidth="1"/>
    <col min="7432" max="7432" width="16.81640625" customWidth="1"/>
    <col min="7681" max="7682" width="21.453125" customWidth="1"/>
    <col min="7683" max="7685" width="15.7265625" customWidth="1"/>
    <col min="7686" max="7687" width="13.26953125" customWidth="1"/>
    <col min="7688" max="7688" width="16.81640625" customWidth="1"/>
    <col min="7937" max="7938" width="21.453125" customWidth="1"/>
    <col min="7939" max="7941" width="15.7265625" customWidth="1"/>
    <col min="7942" max="7943" width="13.26953125" customWidth="1"/>
    <col min="7944" max="7944" width="16.81640625" customWidth="1"/>
    <col min="8193" max="8194" width="21.453125" customWidth="1"/>
    <col min="8195" max="8197" width="15.7265625" customWidth="1"/>
    <col min="8198" max="8199" width="13.26953125" customWidth="1"/>
    <col min="8200" max="8200" width="16.81640625" customWidth="1"/>
    <col min="8449" max="8450" width="21.453125" customWidth="1"/>
    <col min="8451" max="8453" width="15.7265625" customWidth="1"/>
    <col min="8454" max="8455" width="13.26953125" customWidth="1"/>
    <col min="8456" max="8456" width="16.81640625" customWidth="1"/>
    <col min="8705" max="8706" width="21.453125" customWidth="1"/>
    <col min="8707" max="8709" width="15.7265625" customWidth="1"/>
    <col min="8710" max="8711" width="13.26953125" customWidth="1"/>
    <col min="8712" max="8712" width="16.81640625" customWidth="1"/>
    <col min="8961" max="8962" width="21.453125" customWidth="1"/>
    <col min="8963" max="8965" width="15.7265625" customWidth="1"/>
    <col min="8966" max="8967" width="13.26953125" customWidth="1"/>
    <col min="8968" max="8968" width="16.81640625" customWidth="1"/>
    <col min="9217" max="9218" width="21.453125" customWidth="1"/>
    <col min="9219" max="9221" width="15.7265625" customWidth="1"/>
    <col min="9222" max="9223" width="13.26953125" customWidth="1"/>
    <col min="9224" max="9224" width="16.81640625" customWidth="1"/>
    <col min="9473" max="9474" width="21.453125" customWidth="1"/>
    <col min="9475" max="9477" width="15.7265625" customWidth="1"/>
    <col min="9478" max="9479" width="13.26953125" customWidth="1"/>
    <col min="9480" max="9480" width="16.81640625" customWidth="1"/>
    <col min="9729" max="9730" width="21.453125" customWidth="1"/>
    <col min="9731" max="9733" width="15.7265625" customWidth="1"/>
    <col min="9734" max="9735" width="13.26953125" customWidth="1"/>
    <col min="9736" max="9736" width="16.81640625" customWidth="1"/>
    <col min="9985" max="9986" width="21.453125" customWidth="1"/>
    <col min="9987" max="9989" width="15.7265625" customWidth="1"/>
    <col min="9990" max="9991" width="13.26953125" customWidth="1"/>
    <col min="9992" max="9992" width="16.81640625" customWidth="1"/>
    <col min="10241" max="10242" width="21.453125" customWidth="1"/>
    <col min="10243" max="10245" width="15.7265625" customWidth="1"/>
    <col min="10246" max="10247" width="13.26953125" customWidth="1"/>
    <col min="10248" max="10248" width="16.81640625" customWidth="1"/>
    <col min="10497" max="10498" width="21.453125" customWidth="1"/>
    <col min="10499" max="10501" width="15.7265625" customWidth="1"/>
    <col min="10502" max="10503" width="13.26953125" customWidth="1"/>
    <col min="10504" max="10504" width="16.81640625" customWidth="1"/>
    <col min="10753" max="10754" width="21.453125" customWidth="1"/>
    <col min="10755" max="10757" width="15.7265625" customWidth="1"/>
    <col min="10758" max="10759" width="13.26953125" customWidth="1"/>
    <col min="10760" max="10760" width="16.81640625" customWidth="1"/>
    <col min="11009" max="11010" width="21.453125" customWidth="1"/>
    <col min="11011" max="11013" width="15.7265625" customWidth="1"/>
    <col min="11014" max="11015" width="13.26953125" customWidth="1"/>
    <col min="11016" max="11016" width="16.81640625" customWidth="1"/>
    <col min="11265" max="11266" width="21.453125" customWidth="1"/>
    <col min="11267" max="11269" width="15.7265625" customWidth="1"/>
    <col min="11270" max="11271" width="13.26953125" customWidth="1"/>
    <col min="11272" max="11272" width="16.81640625" customWidth="1"/>
    <col min="11521" max="11522" width="21.453125" customWidth="1"/>
    <col min="11523" max="11525" width="15.7265625" customWidth="1"/>
    <col min="11526" max="11527" width="13.26953125" customWidth="1"/>
    <col min="11528" max="11528" width="16.81640625" customWidth="1"/>
    <col min="11777" max="11778" width="21.453125" customWidth="1"/>
    <col min="11779" max="11781" width="15.7265625" customWidth="1"/>
    <col min="11782" max="11783" width="13.26953125" customWidth="1"/>
    <col min="11784" max="11784" width="16.81640625" customWidth="1"/>
    <col min="12033" max="12034" width="21.453125" customWidth="1"/>
    <col min="12035" max="12037" width="15.7265625" customWidth="1"/>
    <col min="12038" max="12039" width="13.26953125" customWidth="1"/>
    <col min="12040" max="12040" width="16.81640625" customWidth="1"/>
    <col min="12289" max="12290" width="21.453125" customWidth="1"/>
    <col min="12291" max="12293" width="15.7265625" customWidth="1"/>
    <col min="12294" max="12295" width="13.26953125" customWidth="1"/>
    <col min="12296" max="12296" width="16.81640625" customWidth="1"/>
    <col min="12545" max="12546" width="21.453125" customWidth="1"/>
    <col min="12547" max="12549" width="15.7265625" customWidth="1"/>
    <col min="12550" max="12551" width="13.26953125" customWidth="1"/>
    <col min="12552" max="12552" width="16.81640625" customWidth="1"/>
    <col min="12801" max="12802" width="21.453125" customWidth="1"/>
    <col min="12803" max="12805" width="15.7265625" customWidth="1"/>
    <col min="12806" max="12807" width="13.26953125" customWidth="1"/>
    <col min="12808" max="12808" width="16.81640625" customWidth="1"/>
    <col min="13057" max="13058" width="21.453125" customWidth="1"/>
    <col min="13059" max="13061" width="15.7265625" customWidth="1"/>
    <col min="13062" max="13063" width="13.26953125" customWidth="1"/>
    <col min="13064" max="13064" width="16.81640625" customWidth="1"/>
    <col min="13313" max="13314" width="21.453125" customWidth="1"/>
    <col min="13315" max="13317" width="15.7265625" customWidth="1"/>
    <col min="13318" max="13319" width="13.26953125" customWidth="1"/>
    <col min="13320" max="13320" width="16.81640625" customWidth="1"/>
    <col min="13569" max="13570" width="21.453125" customWidth="1"/>
    <col min="13571" max="13573" width="15.7265625" customWidth="1"/>
    <col min="13574" max="13575" width="13.26953125" customWidth="1"/>
    <col min="13576" max="13576" width="16.81640625" customWidth="1"/>
    <col min="13825" max="13826" width="21.453125" customWidth="1"/>
    <col min="13827" max="13829" width="15.7265625" customWidth="1"/>
    <col min="13830" max="13831" width="13.26953125" customWidth="1"/>
    <col min="13832" max="13832" width="16.81640625" customWidth="1"/>
    <col min="14081" max="14082" width="21.453125" customWidth="1"/>
    <col min="14083" max="14085" width="15.7265625" customWidth="1"/>
    <col min="14086" max="14087" width="13.26953125" customWidth="1"/>
    <col min="14088" max="14088" width="16.81640625" customWidth="1"/>
    <col min="14337" max="14338" width="21.453125" customWidth="1"/>
    <col min="14339" max="14341" width="15.7265625" customWidth="1"/>
    <col min="14342" max="14343" width="13.26953125" customWidth="1"/>
    <col min="14344" max="14344" width="16.81640625" customWidth="1"/>
    <col min="14593" max="14594" width="21.453125" customWidth="1"/>
    <col min="14595" max="14597" width="15.7265625" customWidth="1"/>
    <col min="14598" max="14599" width="13.26953125" customWidth="1"/>
    <col min="14600" max="14600" width="16.81640625" customWidth="1"/>
    <col min="14849" max="14850" width="21.453125" customWidth="1"/>
    <col min="14851" max="14853" width="15.7265625" customWidth="1"/>
    <col min="14854" max="14855" width="13.26953125" customWidth="1"/>
    <col min="14856" max="14856" width="16.81640625" customWidth="1"/>
    <col min="15105" max="15106" width="21.453125" customWidth="1"/>
    <col min="15107" max="15109" width="15.7265625" customWidth="1"/>
    <col min="15110" max="15111" width="13.26953125" customWidth="1"/>
    <col min="15112" max="15112" width="16.81640625" customWidth="1"/>
    <col min="15361" max="15362" width="21.453125" customWidth="1"/>
    <col min="15363" max="15365" width="15.7265625" customWidth="1"/>
    <col min="15366" max="15367" width="13.26953125" customWidth="1"/>
    <col min="15368" max="15368" width="16.81640625" customWidth="1"/>
    <col min="15617" max="15618" width="21.453125" customWidth="1"/>
    <col min="15619" max="15621" width="15.7265625" customWidth="1"/>
    <col min="15622" max="15623" width="13.26953125" customWidth="1"/>
    <col min="15624" max="15624" width="16.81640625" customWidth="1"/>
    <col min="15873" max="15874" width="21.453125" customWidth="1"/>
    <col min="15875" max="15877" width="15.7265625" customWidth="1"/>
    <col min="15878" max="15879" width="13.26953125" customWidth="1"/>
    <col min="15880" max="15880" width="16.81640625" customWidth="1"/>
    <col min="16129" max="16130" width="21.453125" customWidth="1"/>
    <col min="16131" max="16133" width="15.7265625" customWidth="1"/>
    <col min="16134" max="16135" width="13.26953125" customWidth="1"/>
    <col min="16136" max="16136" width="16.81640625" customWidth="1"/>
  </cols>
  <sheetData>
    <row r="1" spans="1:8" ht="16" x14ac:dyDescent="0.4">
      <c r="A1" s="1" t="s">
        <v>0</v>
      </c>
      <c r="B1" s="1"/>
      <c r="C1" s="1"/>
      <c r="D1" s="1"/>
      <c r="E1" s="1"/>
      <c r="F1" s="1"/>
      <c r="G1" s="1"/>
    </row>
    <row r="2" spans="1:8" ht="15" thickBot="1" x14ac:dyDescent="0.4">
      <c r="A2" s="3"/>
      <c r="B2" s="3"/>
      <c r="C2" s="3"/>
      <c r="D2" s="3"/>
      <c r="E2" s="3"/>
      <c r="F2" s="3"/>
      <c r="G2" s="3"/>
    </row>
    <row r="3" spans="1:8" ht="60" customHeight="1" x14ac:dyDescent="0.35">
      <c r="A3" s="4" t="s">
        <v>1</v>
      </c>
      <c r="B3" s="5" t="s">
        <v>2</v>
      </c>
      <c r="C3" s="6" t="s">
        <v>3</v>
      </c>
      <c r="D3" s="6"/>
      <c r="E3" s="6" t="s">
        <v>4</v>
      </c>
      <c r="F3" s="6"/>
      <c r="G3" s="6" t="s">
        <v>5</v>
      </c>
      <c r="H3" s="7" t="s">
        <v>6</v>
      </c>
    </row>
    <row r="4" spans="1:8" ht="15" thickBot="1" x14ac:dyDescent="0.4">
      <c r="A4" s="8"/>
      <c r="B4" s="9"/>
      <c r="C4" s="10" t="s">
        <v>7</v>
      </c>
      <c r="D4" s="10" t="s">
        <v>8</v>
      </c>
      <c r="E4" s="10" t="s">
        <v>9</v>
      </c>
      <c r="F4" s="10" t="s">
        <v>10</v>
      </c>
      <c r="G4" s="10"/>
      <c r="H4" s="11"/>
    </row>
    <row r="5" spans="1:8" x14ac:dyDescent="0.35">
      <c r="A5" s="12"/>
      <c r="B5" s="13"/>
      <c r="C5" s="12"/>
      <c r="D5" s="12"/>
      <c r="E5" s="12"/>
      <c r="F5" s="12"/>
      <c r="G5" s="12"/>
      <c r="H5" s="14"/>
    </row>
    <row r="6" spans="1:8" ht="15" thickBot="1" x14ac:dyDescent="0.4">
      <c r="A6" s="12" t="s">
        <v>11</v>
      </c>
      <c r="B6" s="15" t="s">
        <v>12</v>
      </c>
      <c r="C6" s="16">
        <v>0</v>
      </c>
      <c r="D6" s="16">
        <v>0</v>
      </c>
      <c r="E6" s="16">
        <v>0</v>
      </c>
      <c r="F6" s="16">
        <v>406.09</v>
      </c>
      <c r="G6" s="16">
        <f>SUM(C6:F6)</f>
        <v>406.09</v>
      </c>
      <c r="H6" s="17" t="s">
        <v>13</v>
      </c>
    </row>
    <row r="7" spans="1:8" ht="15" thickBot="1" x14ac:dyDescent="0.4">
      <c r="A7" s="18" t="s">
        <v>14</v>
      </c>
      <c r="B7" s="19"/>
      <c r="C7" s="20">
        <f>SUBTOTAL(9,C6)</f>
        <v>0</v>
      </c>
      <c r="D7" s="20">
        <f>SUBTOTAL(9,D6)</f>
        <v>0</v>
      </c>
      <c r="E7" s="20">
        <f>SUBTOTAL(9,E6)</f>
        <v>0</v>
      </c>
      <c r="F7" s="20">
        <f>SUBTOTAL(9,F6)</f>
        <v>406.09</v>
      </c>
      <c r="G7" s="20">
        <f>SUBTOTAL(9,G6)</f>
        <v>406.09</v>
      </c>
      <c r="H7" s="21" t="s">
        <v>13</v>
      </c>
    </row>
    <row r="8" spans="1:8" x14ac:dyDescent="0.35">
      <c r="A8" s="12"/>
      <c r="B8" s="22"/>
      <c r="C8" s="16"/>
      <c r="D8" s="16"/>
      <c r="E8" s="16"/>
      <c r="F8" s="16"/>
      <c r="G8" s="23"/>
      <c r="H8" s="24"/>
    </row>
    <row r="9" spans="1:8" x14ac:dyDescent="0.35">
      <c r="A9" s="12" t="s">
        <v>15</v>
      </c>
      <c r="B9" s="16" t="s">
        <v>16</v>
      </c>
      <c r="C9" s="25">
        <v>6443.82</v>
      </c>
      <c r="D9" s="25">
        <v>1905.1399999999999</v>
      </c>
      <c r="E9" s="25">
        <v>8453.4700000000012</v>
      </c>
      <c r="F9" s="25">
        <v>4449.95</v>
      </c>
      <c r="G9" s="25">
        <f t="shared" ref="G9:G22" si="0">SUM(C9:F9)</f>
        <v>21252.38</v>
      </c>
      <c r="H9" s="24" t="s">
        <v>13</v>
      </c>
    </row>
    <row r="10" spans="1:8" x14ac:dyDescent="0.35">
      <c r="A10" s="12"/>
      <c r="B10" s="16" t="s">
        <v>17</v>
      </c>
      <c r="C10" s="25">
        <v>6443.82</v>
      </c>
      <c r="D10" s="25">
        <v>328.78</v>
      </c>
      <c r="E10" s="25">
        <v>6429.2800000000007</v>
      </c>
      <c r="F10" s="25">
        <v>2544.6400000000003</v>
      </c>
      <c r="G10" s="25">
        <f t="shared" si="0"/>
        <v>15746.52</v>
      </c>
      <c r="H10" s="24" t="s">
        <v>13</v>
      </c>
    </row>
    <row r="11" spans="1:8" x14ac:dyDescent="0.35">
      <c r="A11" s="12"/>
      <c r="B11" s="16" t="s">
        <v>18</v>
      </c>
      <c r="C11" s="25">
        <v>4510.68</v>
      </c>
      <c r="D11" s="25">
        <v>717.26</v>
      </c>
      <c r="E11" s="25">
        <v>5017.5</v>
      </c>
      <c r="F11" s="25">
        <v>2125.73</v>
      </c>
      <c r="G11" s="25">
        <f t="shared" si="0"/>
        <v>12371.17</v>
      </c>
      <c r="H11" s="24" t="s">
        <v>13</v>
      </c>
    </row>
    <row r="12" spans="1:8" x14ac:dyDescent="0.35">
      <c r="A12" s="12"/>
      <c r="B12" s="16" t="s">
        <v>19</v>
      </c>
      <c r="C12" s="25">
        <v>3866.2799999999997</v>
      </c>
      <c r="D12" s="25">
        <v>0</v>
      </c>
      <c r="E12" s="25">
        <v>5195.67</v>
      </c>
      <c r="F12" s="25">
        <v>514.75</v>
      </c>
      <c r="G12" s="25">
        <f t="shared" si="0"/>
        <v>9576.7000000000007</v>
      </c>
      <c r="H12" s="24" t="s">
        <v>13</v>
      </c>
    </row>
    <row r="13" spans="1:8" x14ac:dyDescent="0.35">
      <c r="A13" s="12"/>
      <c r="B13" s="16" t="s">
        <v>20</v>
      </c>
      <c r="C13" s="25">
        <v>6443.82</v>
      </c>
      <c r="D13" s="25">
        <v>0</v>
      </c>
      <c r="E13" s="25">
        <v>4886.0200000000004</v>
      </c>
      <c r="F13" s="25">
        <v>6304.38</v>
      </c>
      <c r="G13" s="25">
        <f t="shared" si="0"/>
        <v>17634.22</v>
      </c>
      <c r="H13" s="24" t="s">
        <v>13</v>
      </c>
    </row>
    <row r="14" spans="1:8" ht="15.75" customHeight="1" x14ac:dyDescent="0.35">
      <c r="A14" s="12"/>
      <c r="B14" s="16" t="s">
        <v>21</v>
      </c>
      <c r="C14" s="25">
        <v>6443.82</v>
      </c>
      <c r="D14" s="25">
        <v>113.04</v>
      </c>
      <c r="E14" s="25">
        <v>8210.59</v>
      </c>
      <c r="F14" s="25">
        <v>731.99</v>
      </c>
      <c r="G14" s="25">
        <f t="shared" si="0"/>
        <v>15499.44</v>
      </c>
      <c r="H14" s="24" t="s">
        <v>13</v>
      </c>
    </row>
    <row r="15" spans="1:8" x14ac:dyDescent="0.35">
      <c r="A15" s="12"/>
      <c r="B15" s="16" t="s">
        <v>22</v>
      </c>
      <c r="C15" s="25">
        <v>0</v>
      </c>
      <c r="D15" s="25">
        <v>1149.79</v>
      </c>
      <c r="E15" s="25">
        <v>9086.51</v>
      </c>
      <c r="F15" s="25">
        <v>2601.2299999999996</v>
      </c>
      <c r="G15" s="25">
        <f t="shared" si="0"/>
        <v>12837.529999999999</v>
      </c>
      <c r="H15" s="24">
        <v>13521.35</v>
      </c>
    </row>
    <row r="16" spans="1:8" x14ac:dyDescent="0.35">
      <c r="A16" s="12"/>
      <c r="B16" s="16" t="s">
        <v>23</v>
      </c>
      <c r="C16" s="25">
        <v>0</v>
      </c>
      <c r="D16" s="25">
        <v>4111.46</v>
      </c>
      <c r="E16" s="25">
        <v>5231.2299999999996</v>
      </c>
      <c r="F16" s="25">
        <v>4263.6400000000003</v>
      </c>
      <c r="G16" s="25">
        <f t="shared" si="0"/>
        <v>13606.329999999998</v>
      </c>
      <c r="H16" s="24" t="s">
        <v>13</v>
      </c>
    </row>
    <row r="17" spans="1:8" x14ac:dyDescent="0.35">
      <c r="A17" s="12"/>
      <c r="B17" s="16" t="s">
        <v>24</v>
      </c>
      <c r="C17" s="25">
        <v>6443.82</v>
      </c>
      <c r="D17" s="25">
        <v>0</v>
      </c>
      <c r="E17" s="25">
        <v>5927.04</v>
      </c>
      <c r="F17" s="25">
        <v>145.65</v>
      </c>
      <c r="G17" s="25">
        <f t="shared" si="0"/>
        <v>12516.51</v>
      </c>
      <c r="H17" s="24" t="s">
        <v>13</v>
      </c>
    </row>
    <row r="18" spans="1:8" x14ac:dyDescent="0.35">
      <c r="A18" s="12"/>
      <c r="B18" s="16" t="s">
        <v>25</v>
      </c>
      <c r="C18" s="25">
        <v>0</v>
      </c>
      <c r="D18" s="25">
        <v>423.22</v>
      </c>
      <c r="E18" s="25">
        <v>5868.25</v>
      </c>
      <c r="F18" s="25">
        <v>2756.66</v>
      </c>
      <c r="G18" s="25">
        <f t="shared" si="0"/>
        <v>9048.130000000001</v>
      </c>
      <c r="H18" s="24" t="s">
        <v>13</v>
      </c>
    </row>
    <row r="19" spans="1:8" x14ac:dyDescent="0.35">
      <c r="A19" s="12"/>
      <c r="B19" s="16" t="s">
        <v>26</v>
      </c>
      <c r="C19" s="25">
        <v>5914.51</v>
      </c>
      <c r="D19" s="25">
        <v>122.61</v>
      </c>
      <c r="E19" s="25">
        <v>5296.7800000000007</v>
      </c>
      <c r="F19" s="25">
        <v>2063.06</v>
      </c>
      <c r="G19" s="25">
        <f t="shared" si="0"/>
        <v>13396.960000000001</v>
      </c>
      <c r="H19" s="24">
        <v>48</v>
      </c>
    </row>
    <row r="20" spans="1:8" x14ac:dyDescent="0.35">
      <c r="A20" s="12"/>
      <c r="B20" s="16" t="s">
        <v>27</v>
      </c>
      <c r="C20" s="25">
        <v>4510.68</v>
      </c>
      <c r="D20" s="25">
        <v>691.01</v>
      </c>
      <c r="E20" s="25">
        <v>5820.2</v>
      </c>
      <c r="F20" s="25">
        <v>3297.3900000000003</v>
      </c>
      <c r="G20" s="25">
        <f t="shared" si="0"/>
        <v>14319.279999999999</v>
      </c>
      <c r="H20" s="24" t="s">
        <v>13</v>
      </c>
    </row>
    <row r="21" spans="1:8" x14ac:dyDescent="0.35">
      <c r="A21" s="12"/>
      <c r="B21" s="16" t="s">
        <v>28</v>
      </c>
      <c r="C21" s="25">
        <v>0</v>
      </c>
      <c r="D21" s="25">
        <v>2253.5100000000002</v>
      </c>
      <c r="E21" s="25">
        <v>5858.8</v>
      </c>
      <c r="F21" s="25">
        <v>1306.8700000000001</v>
      </c>
      <c r="G21" s="25">
        <f t="shared" si="0"/>
        <v>9419.18</v>
      </c>
      <c r="H21" s="24" t="s">
        <v>13</v>
      </c>
    </row>
    <row r="22" spans="1:8" ht="15" thickBot="1" x14ac:dyDescent="0.4">
      <c r="A22" s="12"/>
      <c r="B22" s="16" t="s">
        <v>29</v>
      </c>
      <c r="C22" s="25">
        <v>6443.82</v>
      </c>
      <c r="D22" s="25">
        <v>1767.69</v>
      </c>
      <c r="E22" s="25">
        <v>9519.14</v>
      </c>
      <c r="F22" s="25">
        <v>4003.9100000000003</v>
      </c>
      <c r="G22" s="25">
        <f t="shared" si="0"/>
        <v>21734.560000000001</v>
      </c>
      <c r="H22" s="24" t="s">
        <v>13</v>
      </c>
    </row>
    <row r="23" spans="1:8" ht="15" thickBot="1" x14ac:dyDescent="0.4">
      <c r="A23" s="18" t="s">
        <v>30</v>
      </c>
      <c r="B23" s="26"/>
      <c r="C23" s="27">
        <f>SUBTOTAL(9,C9:C22)</f>
        <v>57465.07</v>
      </c>
      <c r="D23" s="27">
        <f>SUBTOTAL(9,D9:D22)</f>
        <v>13583.510000000002</v>
      </c>
      <c r="E23" s="27">
        <f>SUBTOTAL(9,E9:E22)</f>
        <v>90800.48000000001</v>
      </c>
      <c r="F23" s="27">
        <f>SUBTOTAL(9,F9:F22)</f>
        <v>37109.850000000006</v>
      </c>
      <c r="G23" s="27">
        <f>SUBTOTAL(9,G9:G22)</f>
        <v>198958.90999999997</v>
      </c>
      <c r="H23" s="28">
        <f xml:space="preserve"> SUM(H15:H19)</f>
        <v>13569.35</v>
      </c>
    </row>
    <row r="24" spans="1:8" x14ac:dyDescent="0.35">
      <c r="A24" s="12"/>
      <c r="B24" s="29"/>
      <c r="C24" s="30"/>
      <c r="D24" s="30"/>
      <c r="E24" s="30"/>
      <c r="F24" s="30"/>
      <c r="G24" s="31"/>
      <c r="H24" s="24"/>
    </row>
    <row r="25" spans="1:8" x14ac:dyDescent="0.35">
      <c r="A25" s="12" t="s">
        <v>31</v>
      </c>
      <c r="B25" s="16" t="s">
        <v>32</v>
      </c>
      <c r="C25" s="16">
        <v>6443.82</v>
      </c>
      <c r="D25" s="16">
        <v>366.09</v>
      </c>
      <c r="E25" s="16">
        <v>6374.66</v>
      </c>
      <c r="F25" s="16">
        <v>2319.4399999999996</v>
      </c>
      <c r="G25" s="25">
        <f t="shared" ref="G25:G31" si="1">SUM(C25:F25)</f>
        <v>15504.009999999998</v>
      </c>
      <c r="H25" s="24" t="s">
        <v>13</v>
      </c>
    </row>
    <row r="26" spans="1:8" x14ac:dyDescent="0.35">
      <c r="A26" s="12"/>
      <c r="B26" s="16" t="s">
        <v>33</v>
      </c>
      <c r="C26" s="16">
        <v>4510.68</v>
      </c>
      <c r="D26" s="16">
        <v>460.09</v>
      </c>
      <c r="E26" s="16">
        <v>9987.4599999999991</v>
      </c>
      <c r="F26" s="16">
        <v>2398.48</v>
      </c>
      <c r="G26" s="25">
        <f t="shared" si="1"/>
        <v>17356.71</v>
      </c>
      <c r="H26" s="24">
        <v>14474.29</v>
      </c>
    </row>
    <row r="27" spans="1:8" x14ac:dyDescent="0.35">
      <c r="A27" s="12"/>
      <c r="B27" s="16" t="s">
        <v>34</v>
      </c>
      <c r="C27" s="16">
        <v>1637.39</v>
      </c>
      <c r="D27" s="16">
        <v>892.92000000000007</v>
      </c>
      <c r="E27" s="16">
        <v>8868.59</v>
      </c>
      <c r="F27" s="16">
        <v>1512.61</v>
      </c>
      <c r="G27" s="25">
        <f t="shared" si="1"/>
        <v>12911.510000000002</v>
      </c>
      <c r="H27" s="24" t="s">
        <v>13</v>
      </c>
    </row>
    <row r="28" spans="1:8" x14ac:dyDescent="0.35">
      <c r="A28" s="12"/>
      <c r="B28" s="16" t="s">
        <v>35</v>
      </c>
      <c r="C28" s="16">
        <v>6443.82</v>
      </c>
      <c r="D28" s="16">
        <v>461.22</v>
      </c>
      <c r="E28" s="16">
        <v>10069.69</v>
      </c>
      <c r="F28" s="16">
        <v>2660.38</v>
      </c>
      <c r="G28" s="25">
        <f t="shared" si="1"/>
        <v>19635.11</v>
      </c>
      <c r="H28" s="24" t="s">
        <v>13</v>
      </c>
    </row>
    <row r="29" spans="1:8" x14ac:dyDescent="0.35">
      <c r="A29" s="12"/>
      <c r="B29" s="16" t="s">
        <v>36</v>
      </c>
      <c r="C29" s="16">
        <v>6443.82</v>
      </c>
      <c r="D29" s="16">
        <v>585.72</v>
      </c>
      <c r="E29" s="16">
        <v>5731.51</v>
      </c>
      <c r="F29" s="16">
        <v>2573.5</v>
      </c>
      <c r="G29" s="25">
        <f t="shared" si="1"/>
        <v>15334.55</v>
      </c>
      <c r="H29" s="24" t="s">
        <v>13</v>
      </c>
    </row>
    <row r="30" spans="1:8" x14ac:dyDescent="0.35">
      <c r="A30" s="12"/>
      <c r="B30" s="16" t="s">
        <v>37</v>
      </c>
      <c r="C30" s="16">
        <v>6558.5599999999995</v>
      </c>
      <c r="D30" s="16">
        <v>3740.62</v>
      </c>
      <c r="E30" s="16">
        <v>13877.93</v>
      </c>
      <c r="F30" s="16">
        <v>6842.6</v>
      </c>
      <c r="G30" s="25">
        <f t="shared" si="1"/>
        <v>31019.71</v>
      </c>
      <c r="H30" s="24" t="s">
        <v>13</v>
      </c>
    </row>
    <row r="31" spans="1:8" x14ac:dyDescent="0.35">
      <c r="A31" s="12"/>
      <c r="B31" s="16" t="s">
        <v>38</v>
      </c>
      <c r="C31" s="16">
        <v>6443.82</v>
      </c>
      <c r="D31" s="16">
        <v>434.98</v>
      </c>
      <c r="E31" s="16">
        <v>6206.0199999999995</v>
      </c>
      <c r="F31" s="16">
        <v>3403.5299999999997</v>
      </c>
      <c r="G31" s="25">
        <f t="shared" si="1"/>
        <v>16488.349999999999</v>
      </c>
      <c r="H31" s="24" t="s">
        <v>13</v>
      </c>
    </row>
    <row r="32" spans="1:8" x14ac:dyDescent="0.35">
      <c r="A32" s="12"/>
      <c r="B32" s="16" t="s">
        <v>39</v>
      </c>
      <c r="C32" s="16">
        <v>0</v>
      </c>
      <c r="D32" s="16">
        <v>1048.31</v>
      </c>
      <c r="E32" s="16">
        <v>7421.3</v>
      </c>
      <c r="F32" s="16">
        <v>7950.41</v>
      </c>
      <c r="G32" s="25">
        <f t="shared" ref="G32:G56" si="2">SUM(C32:F32)</f>
        <v>16420.02</v>
      </c>
      <c r="H32" s="24" t="s">
        <v>13</v>
      </c>
    </row>
    <row r="33" spans="1:8" x14ac:dyDescent="0.35">
      <c r="A33" s="12"/>
      <c r="B33" s="16" t="s">
        <v>40</v>
      </c>
      <c r="C33" s="16">
        <v>2478.2399999999998</v>
      </c>
      <c r="D33" s="16">
        <v>240</v>
      </c>
      <c r="E33" s="16">
        <v>5509.14</v>
      </c>
      <c r="F33" s="16">
        <v>5205.97</v>
      </c>
      <c r="G33" s="25">
        <f t="shared" si="2"/>
        <v>13433.350000000002</v>
      </c>
      <c r="H33" s="24" t="s">
        <v>13</v>
      </c>
    </row>
    <row r="34" spans="1:8" x14ac:dyDescent="0.35">
      <c r="A34" s="12"/>
      <c r="B34" s="16" t="s">
        <v>41</v>
      </c>
      <c r="C34" s="16">
        <v>1608.8700000000001</v>
      </c>
      <c r="D34" s="16">
        <v>2583.33</v>
      </c>
      <c r="E34" s="16">
        <v>5915.32</v>
      </c>
      <c r="F34" s="16">
        <v>3415.5599999999995</v>
      </c>
      <c r="G34" s="25">
        <f t="shared" si="2"/>
        <v>13523.08</v>
      </c>
      <c r="H34" s="24">
        <v>30</v>
      </c>
    </row>
    <row r="35" spans="1:8" x14ac:dyDescent="0.35">
      <c r="A35" s="12"/>
      <c r="B35" s="16" t="s">
        <v>42</v>
      </c>
      <c r="C35" s="16">
        <v>0</v>
      </c>
      <c r="D35" s="16">
        <v>1450.38</v>
      </c>
      <c r="E35" s="16">
        <v>2542.09</v>
      </c>
      <c r="F35" s="16">
        <v>2262.08</v>
      </c>
      <c r="G35" s="25">
        <f t="shared" si="2"/>
        <v>6254.55</v>
      </c>
      <c r="H35" s="24" t="s">
        <v>13</v>
      </c>
    </row>
    <row r="36" spans="1:8" x14ac:dyDescent="0.35">
      <c r="A36" s="12"/>
      <c r="B36" s="16" t="s">
        <v>43</v>
      </c>
      <c r="C36" s="16">
        <v>0</v>
      </c>
      <c r="D36" s="16">
        <v>1057.3</v>
      </c>
      <c r="E36" s="16">
        <v>4540.57</v>
      </c>
      <c r="F36" s="16">
        <v>3498.18</v>
      </c>
      <c r="G36" s="25">
        <f t="shared" si="2"/>
        <v>9096.0499999999993</v>
      </c>
      <c r="H36" s="24" t="s">
        <v>13</v>
      </c>
    </row>
    <row r="37" spans="1:8" x14ac:dyDescent="0.35">
      <c r="A37" s="12"/>
      <c r="B37" s="16" t="s">
        <v>44</v>
      </c>
      <c r="C37" s="16">
        <v>4510.68</v>
      </c>
      <c r="D37" s="16">
        <v>483.48</v>
      </c>
      <c r="E37" s="16">
        <v>4533.5599999999995</v>
      </c>
      <c r="F37" s="16">
        <v>2641.92</v>
      </c>
      <c r="G37" s="25">
        <f t="shared" si="2"/>
        <v>12169.64</v>
      </c>
      <c r="H37" s="24" t="s">
        <v>13</v>
      </c>
    </row>
    <row r="38" spans="1:8" x14ac:dyDescent="0.35">
      <c r="A38" s="12"/>
      <c r="B38" s="16" t="s">
        <v>45</v>
      </c>
      <c r="C38" s="16">
        <v>0</v>
      </c>
      <c r="D38" s="16">
        <v>3469.69</v>
      </c>
      <c r="E38" s="16">
        <v>14524.84</v>
      </c>
      <c r="F38" s="16">
        <v>7821.16</v>
      </c>
      <c r="G38" s="25">
        <f t="shared" si="2"/>
        <v>25815.69</v>
      </c>
      <c r="H38" s="24" t="s">
        <v>13</v>
      </c>
    </row>
    <row r="39" spans="1:8" x14ac:dyDescent="0.35">
      <c r="A39" s="12"/>
      <c r="B39" s="16" t="s">
        <v>46</v>
      </c>
      <c r="C39" s="16">
        <v>6443.82</v>
      </c>
      <c r="D39" s="16">
        <v>2829.91</v>
      </c>
      <c r="E39" s="16">
        <v>9490.02</v>
      </c>
      <c r="F39" s="16">
        <v>4032.91</v>
      </c>
      <c r="G39" s="25">
        <f t="shared" si="2"/>
        <v>22796.66</v>
      </c>
      <c r="H39" s="24" t="s">
        <v>13</v>
      </c>
    </row>
    <row r="40" spans="1:8" x14ac:dyDescent="0.35">
      <c r="A40" s="12"/>
      <c r="B40" s="16" t="s">
        <v>47</v>
      </c>
      <c r="C40" s="16">
        <v>0</v>
      </c>
      <c r="D40" s="16">
        <v>581.61</v>
      </c>
      <c r="E40" s="16">
        <v>4398.16</v>
      </c>
      <c r="F40" s="16">
        <v>6782.5599999999995</v>
      </c>
      <c r="G40" s="25">
        <f t="shared" si="2"/>
        <v>11762.329999999998</v>
      </c>
      <c r="H40" s="24" t="s">
        <v>13</v>
      </c>
    </row>
    <row r="41" spans="1:8" x14ac:dyDescent="0.35">
      <c r="A41" s="12"/>
      <c r="B41" s="16" t="s">
        <v>48</v>
      </c>
      <c r="C41" s="16">
        <v>6443.82</v>
      </c>
      <c r="D41" s="16">
        <v>360</v>
      </c>
      <c r="E41" s="16">
        <v>4708.1499999999996</v>
      </c>
      <c r="F41" s="16">
        <v>1098.04</v>
      </c>
      <c r="G41" s="25">
        <f t="shared" si="2"/>
        <v>12610.009999999998</v>
      </c>
      <c r="H41" s="24" t="s">
        <v>13</v>
      </c>
    </row>
    <row r="42" spans="1:8" x14ac:dyDescent="0.35">
      <c r="A42" s="12"/>
      <c r="B42" s="16" t="s">
        <v>49</v>
      </c>
      <c r="C42" s="16">
        <v>6443.82</v>
      </c>
      <c r="D42" s="16">
        <v>783.32999999999993</v>
      </c>
      <c r="E42" s="16">
        <v>6709.76</v>
      </c>
      <c r="F42" s="16">
        <v>5586.87</v>
      </c>
      <c r="G42" s="25">
        <f t="shared" si="2"/>
        <v>19523.78</v>
      </c>
      <c r="H42" s="24" t="s">
        <v>13</v>
      </c>
    </row>
    <row r="43" spans="1:8" x14ac:dyDescent="0.35">
      <c r="A43" s="12"/>
      <c r="B43" s="16" t="s">
        <v>50</v>
      </c>
      <c r="C43" s="16">
        <v>1208.69</v>
      </c>
      <c r="D43" s="16">
        <v>440.78</v>
      </c>
      <c r="E43" s="16">
        <v>8809.7800000000007</v>
      </c>
      <c r="F43" s="16">
        <v>5251.63</v>
      </c>
      <c r="G43" s="25">
        <f t="shared" si="2"/>
        <v>15710.880000000001</v>
      </c>
      <c r="H43" s="24" t="s">
        <v>13</v>
      </c>
    </row>
    <row r="44" spans="1:8" x14ac:dyDescent="0.35">
      <c r="A44" s="12"/>
      <c r="B44" s="16" t="s">
        <v>51</v>
      </c>
      <c r="C44" s="16">
        <v>2313.0299999999997</v>
      </c>
      <c r="D44" s="16">
        <v>750.72</v>
      </c>
      <c r="E44" s="16">
        <v>10663.33</v>
      </c>
      <c r="F44" s="16">
        <v>2112.1</v>
      </c>
      <c r="G44" s="25">
        <f t="shared" si="2"/>
        <v>15839.18</v>
      </c>
      <c r="H44" s="24" t="s">
        <v>13</v>
      </c>
    </row>
    <row r="45" spans="1:8" x14ac:dyDescent="0.35">
      <c r="A45" s="12"/>
      <c r="B45" s="16" t="s">
        <v>52</v>
      </c>
      <c r="C45" s="16">
        <v>0</v>
      </c>
      <c r="D45" s="16">
        <v>162.4</v>
      </c>
      <c r="E45" s="16">
        <v>9045.61</v>
      </c>
      <c r="F45" s="16">
        <v>259.21000000000004</v>
      </c>
      <c r="G45" s="25">
        <f t="shared" si="2"/>
        <v>9467.2200000000012</v>
      </c>
      <c r="H45" s="24" t="s">
        <v>13</v>
      </c>
    </row>
    <row r="46" spans="1:8" x14ac:dyDescent="0.35">
      <c r="A46" s="12"/>
      <c r="B46" s="16" t="s">
        <v>53</v>
      </c>
      <c r="C46" s="16">
        <v>3164.1400000000003</v>
      </c>
      <c r="D46" s="16">
        <v>2233.42</v>
      </c>
      <c r="E46" s="16">
        <v>3832.4300000000003</v>
      </c>
      <c r="F46" s="16">
        <v>5405.52</v>
      </c>
      <c r="G46" s="25">
        <f t="shared" si="2"/>
        <v>14635.510000000002</v>
      </c>
      <c r="H46" s="24" t="s">
        <v>13</v>
      </c>
    </row>
    <row r="47" spans="1:8" x14ac:dyDescent="0.35">
      <c r="A47" s="12"/>
      <c r="B47" s="16" t="s">
        <v>54</v>
      </c>
      <c r="C47" s="16">
        <v>4510.68</v>
      </c>
      <c r="D47" s="16">
        <v>803.48</v>
      </c>
      <c r="E47" s="16">
        <v>5696.46</v>
      </c>
      <c r="F47" s="16">
        <v>2800.14</v>
      </c>
      <c r="G47" s="25">
        <f t="shared" si="2"/>
        <v>13810.759999999998</v>
      </c>
      <c r="H47" s="24" t="s">
        <v>13</v>
      </c>
    </row>
    <row r="48" spans="1:8" x14ac:dyDescent="0.35">
      <c r="A48" s="12"/>
      <c r="B48" s="16" t="s">
        <v>55</v>
      </c>
      <c r="C48" s="16">
        <v>1817.37</v>
      </c>
      <c r="D48" s="16">
        <v>0</v>
      </c>
      <c r="E48" s="16">
        <v>5261.35</v>
      </c>
      <c r="F48" s="16">
        <v>4447.8900000000003</v>
      </c>
      <c r="G48" s="25">
        <f t="shared" si="2"/>
        <v>11526.61</v>
      </c>
      <c r="H48" s="24" t="s">
        <v>13</v>
      </c>
    </row>
    <row r="49" spans="1:8" x14ac:dyDescent="0.35">
      <c r="A49" s="12"/>
      <c r="B49" s="16" t="s">
        <v>56</v>
      </c>
      <c r="C49" s="16">
        <v>1300.3499999999999</v>
      </c>
      <c r="D49" s="16">
        <v>0</v>
      </c>
      <c r="E49" s="16">
        <v>5764.4</v>
      </c>
      <c r="F49" s="16">
        <v>2953.68</v>
      </c>
      <c r="G49" s="25">
        <f t="shared" si="2"/>
        <v>10018.43</v>
      </c>
      <c r="H49" s="24" t="s">
        <v>13</v>
      </c>
    </row>
    <row r="50" spans="1:8" x14ac:dyDescent="0.35">
      <c r="A50" s="12"/>
      <c r="B50" s="16" t="s">
        <v>57</v>
      </c>
      <c r="C50" s="16">
        <v>1321.72</v>
      </c>
      <c r="D50" s="16">
        <v>152.16999999999999</v>
      </c>
      <c r="E50" s="16">
        <v>3534.3</v>
      </c>
      <c r="F50" s="16">
        <v>3917.78</v>
      </c>
      <c r="G50" s="25">
        <f t="shared" si="2"/>
        <v>8925.9700000000012</v>
      </c>
      <c r="H50" s="24" t="s">
        <v>13</v>
      </c>
    </row>
    <row r="51" spans="1:8" x14ac:dyDescent="0.35">
      <c r="A51" s="12"/>
      <c r="B51" s="16" t="s">
        <v>58</v>
      </c>
      <c r="C51" s="16">
        <v>3866.2799999999997</v>
      </c>
      <c r="D51" s="16">
        <v>786.81</v>
      </c>
      <c r="E51" s="16">
        <v>7024.97</v>
      </c>
      <c r="F51" s="16">
        <v>3836.1400000000003</v>
      </c>
      <c r="G51" s="25">
        <f t="shared" si="2"/>
        <v>15514.2</v>
      </c>
      <c r="H51" s="24" t="s">
        <v>13</v>
      </c>
    </row>
    <row r="52" spans="1:8" x14ac:dyDescent="0.35">
      <c r="A52" s="12"/>
      <c r="B52" s="16" t="s">
        <v>59</v>
      </c>
      <c r="C52" s="16">
        <v>991.3</v>
      </c>
      <c r="D52" s="16">
        <v>660.86</v>
      </c>
      <c r="E52" s="16">
        <v>6058.34</v>
      </c>
      <c r="F52" s="16">
        <v>2119.96</v>
      </c>
      <c r="G52" s="25">
        <f t="shared" si="2"/>
        <v>9830.4599999999991</v>
      </c>
      <c r="H52" s="24" t="s">
        <v>13</v>
      </c>
    </row>
    <row r="53" spans="1:8" x14ac:dyDescent="0.35">
      <c r="A53" s="12"/>
      <c r="B53" s="16" t="s">
        <v>60</v>
      </c>
      <c r="C53" s="16">
        <v>6443.82</v>
      </c>
      <c r="D53" s="16">
        <v>826.59999999999991</v>
      </c>
      <c r="E53" s="16">
        <v>4149.58</v>
      </c>
      <c r="F53" s="16">
        <v>4489.72</v>
      </c>
      <c r="G53" s="25">
        <f t="shared" si="2"/>
        <v>15909.720000000001</v>
      </c>
      <c r="H53" s="24" t="s">
        <v>13</v>
      </c>
    </row>
    <row r="54" spans="1:8" x14ac:dyDescent="0.35">
      <c r="A54" s="12"/>
      <c r="B54" s="16" t="s">
        <v>61</v>
      </c>
      <c r="C54" s="16">
        <v>6443.82</v>
      </c>
      <c r="D54" s="16">
        <v>1385.5099999999998</v>
      </c>
      <c r="E54" s="16">
        <v>10571.5</v>
      </c>
      <c r="F54" s="16">
        <v>2779.63</v>
      </c>
      <c r="G54" s="25">
        <f t="shared" si="2"/>
        <v>21180.460000000003</v>
      </c>
      <c r="H54" s="24" t="s">
        <v>13</v>
      </c>
    </row>
    <row r="55" spans="1:8" x14ac:dyDescent="0.35">
      <c r="A55" s="12"/>
      <c r="B55" s="16" t="s">
        <v>62</v>
      </c>
      <c r="C55" s="16">
        <v>6443.82</v>
      </c>
      <c r="D55" s="16">
        <v>627.49</v>
      </c>
      <c r="E55" s="16">
        <v>8051.18</v>
      </c>
      <c r="F55" s="16">
        <v>3670.49</v>
      </c>
      <c r="G55" s="25">
        <f t="shared" si="2"/>
        <v>18792.98</v>
      </c>
      <c r="H55" s="24" t="s">
        <v>13</v>
      </c>
    </row>
    <row r="56" spans="1:8" ht="15" thickBot="1" x14ac:dyDescent="0.4">
      <c r="A56" s="12"/>
      <c r="B56" s="16" t="s">
        <v>63</v>
      </c>
      <c r="C56" s="16">
        <v>6443.82</v>
      </c>
      <c r="D56" s="16">
        <v>717.13</v>
      </c>
      <c r="E56" s="16">
        <v>6499.87</v>
      </c>
      <c r="F56" s="16">
        <v>6095.8099999999995</v>
      </c>
      <c r="G56" s="25">
        <f t="shared" si="2"/>
        <v>19756.629999999997</v>
      </c>
      <c r="H56" s="24" t="s">
        <v>13</v>
      </c>
    </row>
    <row r="57" spans="1:8" ht="15" thickBot="1" x14ac:dyDescent="0.4">
      <c r="A57" s="18" t="s">
        <v>64</v>
      </c>
      <c r="B57" s="32"/>
      <c r="C57" s="27">
        <f>SUBTOTAL(9,C25:C56)</f>
        <v>112680.00000000003</v>
      </c>
      <c r="D57" s="27">
        <f>SUBTOTAL(9,D25:D56)</f>
        <v>31376.349999999995</v>
      </c>
      <c r="E57" s="27">
        <f>SUBTOTAL(9,E25:E56)</f>
        <v>226371.86999999994</v>
      </c>
      <c r="F57" s="27">
        <f>SUBTOTAL(9,F25:F56)</f>
        <v>122145.90000000001</v>
      </c>
      <c r="G57" s="27">
        <f>SUBTOTAL(9,G25:G56)</f>
        <v>492574.12000000005</v>
      </c>
      <c r="H57" s="28">
        <v>14504</v>
      </c>
    </row>
    <row r="58" spans="1:8" x14ac:dyDescent="0.35">
      <c r="A58" s="12"/>
      <c r="B58" s="33"/>
      <c r="C58" s="25"/>
      <c r="D58" s="25"/>
      <c r="E58" s="25"/>
      <c r="F58" s="25"/>
      <c r="G58" s="31"/>
      <c r="H58" s="24"/>
    </row>
    <row r="59" spans="1:8" x14ac:dyDescent="0.35">
      <c r="A59" s="12" t="s">
        <v>65</v>
      </c>
      <c r="B59" s="16" t="s">
        <v>66</v>
      </c>
      <c r="C59" s="25">
        <v>0</v>
      </c>
      <c r="D59" s="25">
        <v>0</v>
      </c>
      <c r="E59" s="25">
        <v>2315</v>
      </c>
      <c r="F59" s="25">
        <v>0</v>
      </c>
      <c r="G59" s="25">
        <f>SUM(C59:F59)</f>
        <v>2315</v>
      </c>
      <c r="H59" s="24" t="s">
        <v>13</v>
      </c>
    </row>
    <row r="60" spans="1:8" ht="15" thickBot="1" x14ac:dyDescent="0.4">
      <c r="A60" s="12"/>
      <c r="B60" s="16" t="s">
        <v>67</v>
      </c>
      <c r="C60" s="25">
        <v>4511.0499999999993</v>
      </c>
      <c r="D60" s="25">
        <v>5505.0300000000007</v>
      </c>
      <c r="E60" s="25">
        <v>10320.16</v>
      </c>
      <c r="F60" s="25">
        <v>9966.1200000000008</v>
      </c>
      <c r="G60" s="25">
        <f t="shared" ref="G60:G126" si="3">SUM(C60:F60)</f>
        <v>30302.36</v>
      </c>
      <c r="H60" s="24">
        <v>30</v>
      </c>
    </row>
    <row r="61" spans="1:8" ht="15" thickBot="1" x14ac:dyDescent="0.4">
      <c r="A61" s="18" t="s">
        <v>68</v>
      </c>
      <c r="B61" s="34"/>
      <c r="C61" s="27">
        <f>SUBTOTAL(9,C59:C60)</f>
        <v>4511.0499999999993</v>
      </c>
      <c r="D61" s="27">
        <f>SUBTOTAL(9,D59:D60)</f>
        <v>5505.0300000000007</v>
      </c>
      <c r="E61" s="27">
        <f>SUBTOTAL(9,E59:E60)</f>
        <v>12635.16</v>
      </c>
      <c r="F61" s="27">
        <f>SUBTOTAL(9,F59:F60)</f>
        <v>9966.1200000000008</v>
      </c>
      <c r="G61" s="27">
        <f>SUBTOTAL(9,G59:G60)</f>
        <v>32617.360000000001</v>
      </c>
      <c r="H61" s="28">
        <v>30</v>
      </c>
    </row>
    <row r="62" spans="1:8" x14ac:dyDescent="0.35">
      <c r="A62" s="12"/>
      <c r="B62" s="35"/>
      <c r="C62" s="25"/>
      <c r="D62" s="25"/>
      <c r="E62" s="25"/>
      <c r="F62" s="25"/>
      <c r="G62" s="31"/>
      <c r="H62" s="24"/>
    </row>
    <row r="63" spans="1:8" x14ac:dyDescent="0.35">
      <c r="A63" s="12" t="s">
        <v>69</v>
      </c>
      <c r="B63" s="16" t="s">
        <v>70</v>
      </c>
      <c r="C63" s="25">
        <v>0</v>
      </c>
      <c r="D63" s="25">
        <v>0</v>
      </c>
      <c r="E63" s="25">
        <v>1140.55</v>
      </c>
      <c r="F63" s="25">
        <v>0</v>
      </c>
      <c r="G63" s="25">
        <f t="shared" si="3"/>
        <v>1140.55</v>
      </c>
      <c r="H63" s="24" t="s">
        <v>13</v>
      </c>
    </row>
    <row r="64" spans="1:8" x14ac:dyDescent="0.35">
      <c r="A64" s="12"/>
      <c r="B64" s="16" t="s">
        <v>71</v>
      </c>
      <c r="C64" s="25">
        <v>6443.82</v>
      </c>
      <c r="D64" s="25">
        <v>0</v>
      </c>
      <c r="E64" s="25">
        <v>4759.32</v>
      </c>
      <c r="F64" s="25">
        <v>3412.1000000000004</v>
      </c>
      <c r="G64" s="25">
        <f t="shared" si="3"/>
        <v>14615.24</v>
      </c>
      <c r="H64" s="24" t="s">
        <v>13</v>
      </c>
    </row>
    <row r="65" spans="1:8" x14ac:dyDescent="0.35">
      <c r="A65" s="12"/>
      <c r="B65" s="16" t="s">
        <v>72</v>
      </c>
      <c r="C65" s="25">
        <v>7251.65</v>
      </c>
      <c r="D65" s="25">
        <v>2172.8199999999997</v>
      </c>
      <c r="E65" s="25">
        <v>7253.31</v>
      </c>
      <c r="F65" s="25">
        <v>6498.4699999999993</v>
      </c>
      <c r="G65" s="25">
        <f t="shared" si="3"/>
        <v>23176.25</v>
      </c>
      <c r="H65" s="24" t="s">
        <v>13</v>
      </c>
    </row>
    <row r="66" spans="1:8" x14ac:dyDescent="0.35">
      <c r="A66" s="12"/>
      <c r="B66" s="16" t="s">
        <v>73</v>
      </c>
      <c r="C66" s="25">
        <v>0</v>
      </c>
      <c r="D66" s="25">
        <v>0</v>
      </c>
      <c r="E66" s="25">
        <v>2209.31</v>
      </c>
      <c r="F66" s="25">
        <v>0</v>
      </c>
      <c r="G66" s="25">
        <f t="shared" si="3"/>
        <v>2209.31</v>
      </c>
      <c r="H66" s="24" t="s">
        <v>13</v>
      </c>
    </row>
    <row r="67" spans="1:8" x14ac:dyDescent="0.35">
      <c r="A67" s="12"/>
      <c r="B67" s="16" t="s">
        <v>74</v>
      </c>
      <c r="C67" s="25">
        <v>6443.82</v>
      </c>
      <c r="D67" s="25">
        <v>0</v>
      </c>
      <c r="E67" s="25">
        <v>4703.3</v>
      </c>
      <c r="F67" s="25">
        <v>2981.3</v>
      </c>
      <c r="G67" s="25">
        <f t="shared" si="3"/>
        <v>14128.419999999998</v>
      </c>
      <c r="H67" s="24" t="s">
        <v>13</v>
      </c>
    </row>
    <row r="68" spans="1:8" x14ac:dyDescent="0.35">
      <c r="A68" s="12"/>
      <c r="B68" s="16" t="s">
        <v>75</v>
      </c>
      <c r="C68" s="25">
        <v>2313.02</v>
      </c>
      <c r="D68" s="25">
        <v>365.41</v>
      </c>
      <c r="E68" s="25">
        <v>2758.04</v>
      </c>
      <c r="F68" s="25">
        <v>1734.8600000000001</v>
      </c>
      <c r="G68" s="25">
        <f t="shared" si="3"/>
        <v>7171.33</v>
      </c>
      <c r="H68" s="24" t="s">
        <v>13</v>
      </c>
    </row>
    <row r="69" spans="1:8" x14ac:dyDescent="0.35">
      <c r="A69" s="12"/>
      <c r="B69" s="16" t="s">
        <v>76</v>
      </c>
      <c r="C69" s="25">
        <v>0</v>
      </c>
      <c r="D69" s="25">
        <v>0</v>
      </c>
      <c r="E69" s="25">
        <v>393.14</v>
      </c>
      <c r="F69" s="25">
        <v>0</v>
      </c>
      <c r="G69" s="25">
        <f t="shared" si="3"/>
        <v>393.14</v>
      </c>
      <c r="H69" s="24" t="s">
        <v>13</v>
      </c>
    </row>
    <row r="70" spans="1:8" x14ac:dyDescent="0.35">
      <c r="A70" s="12"/>
      <c r="B70" s="16" t="s">
        <v>77</v>
      </c>
      <c r="C70" s="25">
        <v>0</v>
      </c>
      <c r="D70" s="25">
        <v>1025.83</v>
      </c>
      <c r="E70" s="25">
        <v>8180.7199999999993</v>
      </c>
      <c r="F70" s="25">
        <v>3889.84</v>
      </c>
      <c r="G70" s="25">
        <f t="shared" si="3"/>
        <v>13096.39</v>
      </c>
      <c r="H70" s="24" t="s">
        <v>13</v>
      </c>
    </row>
    <row r="71" spans="1:8" x14ac:dyDescent="0.35">
      <c r="A71" s="12"/>
      <c r="B71" s="16" t="s">
        <v>78</v>
      </c>
      <c r="C71" s="25">
        <v>9435.5999999999985</v>
      </c>
      <c r="D71" s="25">
        <v>122.69</v>
      </c>
      <c r="E71" s="25">
        <v>5073.1100000000006</v>
      </c>
      <c r="F71" s="25">
        <v>2805.16</v>
      </c>
      <c r="G71" s="25">
        <f t="shared" si="3"/>
        <v>17436.559999999998</v>
      </c>
      <c r="H71" s="24" t="s">
        <v>13</v>
      </c>
    </row>
    <row r="72" spans="1:8" x14ac:dyDescent="0.35">
      <c r="A72" s="12"/>
      <c r="B72" s="16" t="s">
        <v>79</v>
      </c>
      <c r="C72" s="25">
        <v>0</v>
      </c>
      <c r="D72" s="25">
        <v>0</v>
      </c>
      <c r="E72" s="25">
        <v>633.53</v>
      </c>
      <c r="F72" s="25">
        <v>0</v>
      </c>
      <c r="G72" s="25">
        <f t="shared" si="3"/>
        <v>633.53</v>
      </c>
      <c r="H72" s="24" t="s">
        <v>13</v>
      </c>
    </row>
    <row r="73" spans="1:8" x14ac:dyDescent="0.35">
      <c r="A73" s="12"/>
      <c r="B73" s="16" t="s">
        <v>80</v>
      </c>
      <c r="C73" s="25">
        <v>0</v>
      </c>
      <c r="D73" s="25">
        <v>0</v>
      </c>
      <c r="E73" s="25">
        <v>2374.79</v>
      </c>
      <c r="F73" s="25">
        <v>0</v>
      </c>
      <c r="G73" s="25">
        <f t="shared" si="3"/>
        <v>2374.79</v>
      </c>
      <c r="H73" s="24" t="s">
        <v>13</v>
      </c>
    </row>
    <row r="74" spans="1:8" x14ac:dyDescent="0.35">
      <c r="A74" s="12"/>
      <c r="B74" s="16" t="s">
        <v>81</v>
      </c>
      <c r="C74" s="25">
        <v>9435.5999999999985</v>
      </c>
      <c r="D74" s="25">
        <v>0</v>
      </c>
      <c r="E74" s="25">
        <v>10108.379999999999</v>
      </c>
      <c r="F74" s="25">
        <v>158.41999999999999</v>
      </c>
      <c r="G74" s="25">
        <f t="shared" si="3"/>
        <v>19702.399999999994</v>
      </c>
      <c r="H74" s="24" t="s">
        <v>13</v>
      </c>
    </row>
    <row r="75" spans="1:8" x14ac:dyDescent="0.35">
      <c r="A75" s="12"/>
      <c r="B75" s="16" t="s">
        <v>82</v>
      </c>
      <c r="C75" s="25">
        <v>0</v>
      </c>
      <c r="D75" s="25">
        <v>0</v>
      </c>
      <c r="E75" s="25">
        <v>2773.57</v>
      </c>
      <c r="F75" s="25">
        <v>0</v>
      </c>
      <c r="G75" s="25">
        <f t="shared" si="3"/>
        <v>2773.57</v>
      </c>
      <c r="H75" s="24" t="s">
        <v>13</v>
      </c>
    </row>
    <row r="76" spans="1:8" x14ac:dyDescent="0.35">
      <c r="A76" s="12"/>
      <c r="B76" s="16" t="s">
        <v>83</v>
      </c>
      <c r="C76" s="25">
        <v>1320.18</v>
      </c>
      <c r="D76" s="25">
        <v>0</v>
      </c>
      <c r="E76" s="25">
        <v>4817.83</v>
      </c>
      <c r="F76" s="25">
        <v>4415.91</v>
      </c>
      <c r="G76" s="25">
        <f t="shared" si="3"/>
        <v>10553.92</v>
      </c>
      <c r="H76" s="24" t="s">
        <v>13</v>
      </c>
    </row>
    <row r="77" spans="1:8" x14ac:dyDescent="0.35">
      <c r="A77" s="12"/>
      <c r="B77" s="16" t="s">
        <v>84</v>
      </c>
      <c r="C77" s="25">
        <v>6443.82</v>
      </c>
      <c r="D77" s="25">
        <v>126.09</v>
      </c>
      <c r="E77" s="25">
        <v>9654.99</v>
      </c>
      <c r="F77" s="25">
        <v>9606.76</v>
      </c>
      <c r="G77" s="25">
        <f t="shared" si="3"/>
        <v>25831.66</v>
      </c>
      <c r="H77" s="24" t="s">
        <v>13</v>
      </c>
    </row>
    <row r="78" spans="1:8" x14ac:dyDescent="0.35">
      <c r="A78" s="12"/>
      <c r="B78" s="16" t="s">
        <v>85</v>
      </c>
      <c r="C78" s="25">
        <v>1154.26</v>
      </c>
      <c r="D78" s="25">
        <v>130.87</v>
      </c>
      <c r="E78" s="25">
        <v>5295.5300000000007</v>
      </c>
      <c r="F78" s="25">
        <v>2866.4700000000003</v>
      </c>
      <c r="G78" s="25">
        <f t="shared" si="3"/>
        <v>9447.130000000001</v>
      </c>
      <c r="H78" s="24" t="s">
        <v>13</v>
      </c>
    </row>
    <row r="79" spans="1:8" x14ac:dyDescent="0.35">
      <c r="A79" s="12"/>
      <c r="B79" s="16" t="s">
        <v>86</v>
      </c>
      <c r="C79" s="25">
        <v>4488.07</v>
      </c>
      <c r="D79" s="25">
        <v>526.91999999999996</v>
      </c>
      <c r="E79" s="25">
        <v>7726.47</v>
      </c>
      <c r="F79" s="25">
        <v>853.39</v>
      </c>
      <c r="G79" s="25">
        <f t="shared" si="3"/>
        <v>13594.849999999999</v>
      </c>
      <c r="H79" s="24" t="s">
        <v>13</v>
      </c>
    </row>
    <row r="80" spans="1:8" x14ac:dyDescent="0.35">
      <c r="A80" s="12"/>
      <c r="B80" s="16" t="s">
        <v>87</v>
      </c>
      <c r="C80" s="25">
        <v>0</v>
      </c>
      <c r="D80" s="25">
        <v>0</v>
      </c>
      <c r="E80" s="25">
        <v>1817.8799999999999</v>
      </c>
      <c r="F80" s="25">
        <v>0</v>
      </c>
      <c r="G80" s="25">
        <f t="shared" si="3"/>
        <v>1817.8799999999999</v>
      </c>
      <c r="H80" s="24" t="s">
        <v>13</v>
      </c>
    </row>
    <row r="81" spans="1:8" x14ac:dyDescent="0.35">
      <c r="A81" s="12"/>
      <c r="B81" s="16" t="s">
        <v>88</v>
      </c>
      <c r="C81" s="25">
        <v>0</v>
      </c>
      <c r="D81" s="25">
        <v>0</v>
      </c>
      <c r="E81" s="25">
        <v>0</v>
      </c>
      <c r="F81" s="25">
        <v>0</v>
      </c>
      <c r="G81" s="25">
        <f t="shared" si="3"/>
        <v>0</v>
      </c>
      <c r="H81" s="24" t="s">
        <v>13</v>
      </c>
    </row>
    <row r="82" spans="1:8" x14ac:dyDescent="0.35">
      <c r="A82" s="12"/>
      <c r="B82" s="16" t="s">
        <v>89</v>
      </c>
      <c r="C82" s="25">
        <v>0</v>
      </c>
      <c r="D82" s="25">
        <v>0</v>
      </c>
      <c r="E82" s="25">
        <v>0</v>
      </c>
      <c r="F82" s="25">
        <v>0</v>
      </c>
      <c r="G82" s="25">
        <f t="shared" si="3"/>
        <v>0</v>
      </c>
      <c r="H82" s="24" t="s">
        <v>13</v>
      </c>
    </row>
    <row r="83" spans="1:8" x14ac:dyDescent="0.35">
      <c r="A83" s="12"/>
      <c r="B83" s="16" t="s">
        <v>90</v>
      </c>
      <c r="C83" s="25">
        <v>0</v>
      </c>
      <c r="D83" s="25">
        <v>2657.38</v>
      </c>
      <c r="E83" s="25">
        <v>7567.94</v>
      </c>
      <c r="F83" s="25">
        <v>3220.41</v>
      </c>
      <c r="G83" s="25">
        <f t="shared" si="3"/>
        <v>13445.73</v>
      </c>
      <c r="H83" s="24" t="s">
        <v>13</v>
      </c>
    </row>
    <row r="84" spans="1:8" x14ac:dyDescent="0.35">
      <c r="A84" s="12"/>
      <c r="B84" s="16" t="s">
        <v>91</v>
      </c>
      <c r="C84" s="25">
        <v>133.41</v>
      </c>
      <c r="D84" s="25">
        <v>0</v>
      </c>
      <c r="E84" s="25">
        <v>479.54999999999995</v>
      </c>
      <c r="F84" s="25">
        <v>0</v>
      </c>
      <c r="G84" s="25">
        <f t="shared" si="3"/>
        <v>612.95999999999992</v>
      </c>
      <c r="H84" s="24" t="s">
        <v>13</v>
      </c>
    </row>
    <row r="85" spans="1:8" x14ac:dyDescent="0.35">
      <c r="A85" s="12"/>
      <c r="B85" s="16" t="s">
        <v>92</v>
      </c>
      <c r="C85" s="25">
        <v>0</v>
      </c>
      <c r="D85" s="25">
        <v>0</v>
      </c>
      <c r="E85" s="25">
        <v>2663.55</v>
      </c>
      <c r="F85" s="25">
        <v>1.0658141036401503E-13</v>
      </c>
      <c r="G85" s="25">
        <f t="shared" si="3"/>
        <v>2663.55</v>
      </c>
      <c r="H85" s="24" t="s">
        <v>13</v>
      </c>
    </row>
    <row r="86" spans="1:8" x14ac:dyDescent="0.35">
      <c r="A86" s="12"/>
      <c r="B86" s="16" t="s">
        <v>93</v>
      </c>
      <c r="C86" s="25">
        <v>0</v>
      </c>
      <c r="D86" s="25">
        <v>0</v>
      </c>
      <c r="E86" s="25">
        <v>0</v>
      </c>
      <c r="F86" s="25">
        <v>0</v>
      </c>
      <c r="G86" s="25">
        <f t="shared" si="3"/>
        <v>0</v>
      </c>
      <c r="H86" s="24" t="s">
        <v>13</v>
      </c>
    </row>
    <row r="87" spans="1:8" x14ac:dyDescent="0.35">
      <c r="A87" s="12"/>
      <c r="B87" s="16" t="s">
        <v>94</v>
      </c>
      <c r="C87" s="25">
        <v>0</v>
      </c>
      <c r="D87" s="25">
        <v>0</v>
      </c>
      <c r="E87" s="25">
        <v>0</v>
      </c>
      <c r="F87" s="25">
        <v>0</v>
      </c>
      <c r="G87" s="25">
        <f>SUM(C87:F87)</f>
        <v>0</v>
      </c>
      <c r="H87" s="24" t="s">
        <v>13</v>
      </c>
    </row>
    <row r="88" spans="1:8" x14ac:dyDescent="0.35">
      <c r="A88" s="12"/>
      <c r="B88" s="16" t="s">
        <v>95</v>
      </c>
      <c r="C88" s="25">
        <v>6443.82</v>
      </c>
      <c r="D88" s="25">
        <v>960</v>
      </c>
      <c r="E88" s="25">
        <v>7959.8</v>
      </c>
      <c r="F88" s="25">
        <v>4058.2200000000003</v>
      </c>
      <c r="G88" s="25">
        <f>SUM(C88:F88)</f>
        <v>19421.84</v>
      </c>
      <c r="H88" s="24">
        <v>48</v>
      </c>
    </row>
    <row r="89" spans="1:8" x14ac:dyDescent="0.35">
      <c r="A89" s="12"/>
      <c r="B89" s="16" t="s">
        <v>96</v>
      </c>
      <c r="C89" s="25">
        <v>0</v>
      </c>
      <c r="D89" s="25">
        <v>882.61</v>
      </c>
      <c r="E89" s="25">
        <v>4533.3999999999996</v>
      </c>
      <c r="F89" s="25">
        <v>2189.9899999999998</v>
      </c>
      <c r="G89" s="25">
        <f t="shared" si="3"/>
        <v>7605.9999999999991</v>
      </c>
      <c r="H89" s="24" t="s">
        <v>13</v>
      </c>
    </row>
    <row r="90" spans="1:8" x14ac:dyDescent="0.35">
      <c r="A90" s="12"/>
      <c r="B90" s="16" t="s">
        <v>97</v>
      </c>
      <c r="C90" s="25">
        <v>0</v>
      </c>
      <c r="D90" s="25">
        <v>0</v>
      </c>
      <c r="E90" s="25">
        <v>0</v>
      </c>
      <c r="F90" s="25">
        <v>0</v>
      </c>
      <c r="G90" s="25">
        <f t="shared" si="3"/>
        <v>0</v>
      </c>
      <c r="H90" s="24" t="s">
        <v>13</v>
      </c>
    </row>
    <row r="91" spans="1:8" x14ac:dyDescent="0.35">
      <c r="A91" s="12"/>
      <c r="B91" s="16" t="s">
        <v>98</v>
      </c>
      <c r="C91" s="25">
        <v>0</v>
      </c>
      <c r="D91" s="25">
        <v>0</v>
      </c>
      <c r="E91" s="25">
        <v>0</v>
      </c>
      <c r="F91" s="25">
        <v>0</v>
      </c>
      <c r="G91" s="25">
        <f t="shared" si="3"/>
        <v>0</v>
      </c>
      <c r="H91" s="24" t="s">
        <v>13</v>
      </c>
    </row>
    <row r="92" spans="1:8" x14ac:dyDescent="0.35">
      <c r="A92" s="12"/>
      <c r="B92" s="16" t="s">
        <v>99</v>
      </c>
      <c r="C92" s="25">
        <v>0</v>
      </c>
      <c r="D92" s="25">
        <v>0</v>
      </c>
      <c r="E92" s="25">
        <v>1606.26</v>
      </c>
      <c r="F92" s="25">
        <v>0</v>
      </c>
      <c r="G92" s="25">
        <f t="shared" si="3"/>
        <v>1606.26</v>
      </c>
      <c r="H92" s="24" t="s">
        <v>13</v>
      </c>
    </row>
    <row r="93" spans="1:8" x14ac:dyDescent="0.35">
      <c r="A93" s="12"/>
      <c r="B93" s="16" t="s">
        <v>100</v>
      </c>
      <c r="C93" s="25">
        <v>2546.77</v>
      </c>
      <c r="D93" s="25">
        <v>448.91999999999996</v>
      </c>
      <c r="E93" s="25">
        <v>10059.67</v>
      </c>
      <c r="F93" s="25">
        <v>5977.43</v>
      </c>
      <c r="G93" s="25">
        <f t="shared" si="3"/>
        <v>19032.79</v>
      </c>
      <c r="H93" s="24" t="s">
        <v>13</v>
      </c>
    </row>
    <row r="94" spans="1:8" x14ac:dyDescent="0.35">
      <c r="A94" s="12"/>
      <c r="B94" s="16" t="s">
        <v>101</v>
      </c>
      <c r="C94" s="25">
        <v>4510.68</v>
      </c>
      <c r="D94" s="25">
        <v>1189.21</v>
      </c>
      <c r="E94" s="25">
        <v>7318.6100000000006</v>
      </c>
      <c r="F94" s="25">
        <v>2537.54</v>
      </c>
      <c r="G94" s="25">
        <f t="shared" si="3"/>
        <v>15556.04</v>
      </c>
      <c r="H94" s="24" t="s">
        <v>13</v>
      </c>
    </row>
    <row r="95" spans="1:8" x14ac:dyDescent="0.35">
      <c r="A95" s="12"/>
      <c r="B95" s="16" t="s">
        <v>102</v>
      </c>
      <c r="C95" s="25">
        <v>6443.82</v>
      </c>
      <c r="D95" s="25">
        <v>0</v>
      </c>
      <c r="E95" s="25">
        <v>12035.08</v>
      </c>
      <c r="F95" s="25">
        <v>5186.1200000000008</v>
      </c>
      <c r="G95" s="25">
        <f t="shared" si="3"/>
        <v>23665.020000000004</v>
      </c>
      <c r="H95" s="24" t="s">
        <v>13</v>
      </c>
    </row>
    <row r="96" spans="1:8" x14ac:dyDescent="0.35">
      <c r="A96" s="12"/>
      <c r="B96" s="16" t="s">
        <v>103</v>
      </c>
      <c r="C96" s="25">
        <v>0</v>
      </c>
      <c r="D96" s="25">
        <v>0</v>
      </c>
      <c r="E96" s="25">
        <v>791.07</v>
      </c>
      <c r="F96" s="25">
        <v>0</v>
      </c>
      <c r="G96" s="25">
        <f t="shared" si="3"/>
        <v>791.07</v>
      </c>
      <c r="H96" s="24" t="s">
        <v>13</v>
      </c>
    </row>
    <row r="97" spans="1:8" x14ac:dyDescent="0.35">
      <c r="A97" s="12"/>
      <c r="B97" s="16" t="s">
        <v>104</v>
      </c>
      <c r="C97" s="25">
        <v>6443.82</v>
      </c>
      <c r="D97" s="25">
        <v>295.64999999999998</v>
      </c>
      <c r="E97" s="25">
        <v>3993.37</v>
      </c>
      <c r="F97" s="25">
        <v>1008.12</v>
      </c>
      <c r="G97" s="25">
        <f t="shared" si="3"/>
        <v>11740.960000000001</v>
      </c>
      <c r="H97" s="24" t="s">
        <v>13</v>
      </c>
    </row>
    <row r="98" spans="1:8" x14ac:dyDescent="0.35">
      <c r="A98" s="12"/>
      <c r="B98" s="16" t="s">
        <v>105</v>
      </c>
      <c r="C98" s="25">
        <v>0</v>
      </c>
      <c r="D98" s="25">
        <v>0</v>
      </c>
      <c r="E98" s="25">
        <v>862.93000000000006</v>
      </c>
      <c r="F98" s="25">
        <v>0</v>
      </c>
      <c r="G98" s="25">
        <f t="shared" si="3"/>
        <v>862.93000000000006</v>
      </c>
      <c r="H98" s="24" t="s">
        <v>13</v>
      </c>
    </row>
    <row r="99" spans="1:8" x14ac:dyDescent="0.35">
      <c r="A99" s="12"/>
      <c r="B99" s="16" t="s">
        <v>106</v>
      </c>
      <c r="C99" s="25">
        <v>0</v>
      </c>
      <c r="D99" s="25">
        <v>0</v>
      </c>
      <c r="E99" s="25">
        <v>0</v>
      </c>
      <c r="F99" s="25">
        <v>0</v>
      </c>
      <c r="G99" s="25">
        <f t="shared" si="3"/>
        <v>0</v>
      </c>
      <c r="H99" s="24" t="s">
        <v>13</v>
      </c>
    </row>
    <row r="100" spans="1:8" x14ac:dyDescent="0.35">
      <c r="A100" s="12"/>
      <c r="B100" s="16" t="s">
        <v>107</v>
      </c>
      <c r="C100" s="25">
        <v>6443.82</v>
      </c>
      <c r="D100" s="25">
        <v>0</v>
      </c>
      <c r="E100" s="25">
        <v>3011.43</v>
      </c>
      <c r="F100" s="25">
        <v>2471.1099999999997</v>
      </c>
      <c r="G100" s="25">
        <f t="shared" si="3"/>
        <v>11926.36</v>
      </c>
      <c r="H100" s="24" t="s">
        <v>13</v>
      </c>
    </row>
    <row r="101" spans="1:8" x14ac:dyDescent="0.35">
      <c r="A101" s="12"/>
      <c r="B101" s="16" t="s">
        <v>108</v>
      </c>
      <c r="C101" s="25">
        <v>4472.33</v>
      </c>
      <c r="D101" s="25">
        <v>120.87</v>
      </c>
      <c r="E101" s="25">
        <v>3134.71</v>
      </c>
      <c r="F101" s="25">
        <v>6213.11</v>
      </c>
      <c r="G101" s="25">
        <f t="shared" si="3"/>
        <v>13941.02</v>
      </c>
      <c r="H101" s="24" t="s">
        <v>13</v>
      </c>
    </row>
    <row r="102" spans="1:8" x14ac:dyDescent="0.35">
      <c r="A102" s="12"/>
      <c r="B102" s="16" t="s">
        <v>109</v>
      </c>
      <c r="C102" s="25">
        <v>4510.68</v>
      </c>
      <c r="D102" s="25">
        <v>151.32</v>
      </c>
      <c r="E102" s="25">
        <v>4834.6499999999996</v>
      </c>
      <c r="F102" s="25">
        <v>3661.1899999999996</v>
      </c>
      <c r="G102" s="25">
        <f t="shared" si="3"/>
        <v>13157.84</v>
      </c>
      <c r="H102" s="24" t="s">
        <v>13</v>
      </c>
    </row>
    <row r="103" spans="1:8" x14ac:dyDescent="0.35">
      <c r="A103" s="12"/>
      <c r="B103" s="16" t="s">
        <v>110</v>
      </c>
      <c r="C103" s="25">
        <v>6443.82</v>
      </c>
      <c r="D103" s="25">
        <v>330.43</v>
      </c>
      <c r="E103" s="25">
        <v>3841.6000000000004</v>
      </c>
      <c r="F103" s="25">
        <v>2554.4</v>
      </c>
      <c r="G103" s="25">
        <f t="shared" si="3"/>
        <v>13170.25</v>
      </c>
      <c r="H103" s="24">
        <v>30</v>
      </c>
    </row>
    <row r="104" spans="1:8" x14ac:dyDescent="0.35">
      <c r="A104" s="12"/>
      <c r="B104" s="16" t="s">
        <v>111</v>
      </c>
      <c r="C104" s="25">
        <v>4472.33</v>
      </c>
      <c r="D104" s="25">
        <v>-156.52000000000001</v>
      </c>
      <c r="E104" s="25">
        <v>5177.59</v>
      </c>
      <c r="F104" s="25">
        <v>4933.29</v>
      </c>
      <c r="G104" s="25">
        <f t="shared" si="3"/>
        <v>14426.689999999999</v>
      </c>
      <c r="H104" s="24" t="s">
        <v>13</v>
      </c>
    </row>
    <row r="105" spans="1:8" x14ac:dyDescent="0.35">
      <c r="A105" s="12"/>
      <c r="B105" s="16" t="s">
        <v>112</v>
      </c>
      <c r="C105" s="25">
        <v>6443.82</v>
      </c>
      <c r="D105" s="25">
        <v>130.43</v>
      </c>
      <c r="E105" s="25">
        <v>5786.65</v>
      </c>
      <c r="F105" s="25">
        <v>3495.1000000000004</v>
      </c>
      <c r="G105" s="25">
        <f t="shared" si="3"/>
        <v>15856</v>
      </c>
      <c r="H105" s="24" t="s">
        <v>13</v>
      </c>
    </row>
    <row r="106" spans="1:8" x14ac:dyDescent="0.35">
      <c r="A106" s="12"/>
      <c r="B106" s="16" t="s">
        <v>113</v>
      </c>
      <c r="C106" s="25">
        <v>0</v>
      </c>
      <c r="D106" s="25">
        <v>0</v>
      </c>
      <c r="E106" s="25">
        <v>131.19999999999999</v>
      </c>
      <c r="F106" s="25">
        <v>0</v>
      </c>
      <c r="G106" s="25">
        <f t="shared" si="3"/>
        <v>131.19999999999999</v>
      </c>
      <c r="H106" s="24" t="s">
        <v>13</v>
      </c>
    </row>
    <row r="107" spans="1:8" x14ac:dyDescent="0.35">
      <c r="A107" s="12"/>
      <c r="B107" s="16" t="s">
        <v>114</v>
      </c>
      <c r="C107" s="25">
        <v>3221.91</v>
      </c>
      <c r="D107" s="25">
        <v>0</v>
      </c>
      <c r="E107" s="25">
        <v>5977.1699999999992</v>
      </c>
      <c r="F107" s="25">
        <v>3407.9399999999996</v>
      </c>
      <c r="G107" s="25">
        <f t="shared" si="3"/>
        <v>12607.019999999997</v>
      </c>
      <c r="H107" s="24" t="s">
        <v>13</v>
      </c>
    </row>
    <row r="108" spans="1:8" x14ac:dyDescent="0.35">
      <c r="A108" s="12"/>
      <c r="B108" s="16" t="s">
        <v>115</v>
      </c>
      <c r="C108" s="25">
        <v>7104.6900000000005</v>
      </c>
      <c r="D108" s="25">
        <v>282.61</v>
      </c>
      <c r="E108" s="25">
        <v>7897.81</v>
      </c>
      <c r="F108" s="25">
        <v>3389.5099999999993</v>
      </c>
      <c r="G108" s="25">
        <f t="shared" si="3"/>
        <v>18674.62</v>
      </c>
      <c r="H108" s="24" t="s">
        <v>13</v>
      </c>
    </row>
    <row r="109" spans="1:8" x14ac:dyDescent="0.35">
      <c r="A109" s="12"/>
      <c r="B109" s="16" t="s">
        <v>116</v>
      </c>
      <c r="C109" s="25">
        <v>4510.68</v>
      </c>
      <c r="D109" s="25">
        <v>0</v>
      </c>
      <c r="E109" s="25">
        <v>4180.2</v>
      </c>
      <c r="F109" s="25">
        <v>2047.83</v>
      </c>
      <c r="G109" s="25">
        <f t="shared" si="3"/>
        <v>10738.710000000001</v>
      </c>
      <c r="H109" s="24" t="s">
        <v>13</v>
      </c>
    </row>
    <row r="110" spans="1:8" x14ac:dyDescent="0.35">
      <c r="A110" s="12"/>
      <c r="B110" s="16" t="s">
        <v>117</v>
      </c>
      <c r="C110" s="25">
        <v>0</v>
      </c>
      <c r="D110" s="25">
        <v>0</v>
      </c>
      <c r="E110" s="25">
        <v>633.53</v>
      </c>
      <c r="F110" s="25">
        <v>3114.19</v>
      </c>
      <c r="G110" s="25">
        <f t="shared" si="3"/>
        <v>3747.7200000000003</v>
      </c>
      <c r="H110" s="24" t="s">
        <v>13</v>
      </c>
    </row>
    <row r="111" spans="1:8" x14ac:dyDescent="0.35">
      <c r="A111" s="12"/>
      <c r="B111" s="16" t="s">
        <v>118</v>
      </c>
      <c r="C111" s="25">
        <v>2531.5</v>
      </c>
      <c r="D111" s="25">
        <v>0</v>
      </c>
      <c r="E111" s="25">
        <v>0</v>
      </c>
      <c r="F111" s="25">
        <v>1229</v>
      </c>
      <c r="G111" s="25">
        <f t="shared" si="3"/>
        <v>3760.5</v>
      </c>
      <c r="H111" s="24" t="s">
        <v>13</v>
      </c>
    </row>
    <row r="112" spans="1:8" x14ac:dyDescent="0.35">
      <c r="A112" s="12"/>
      <c r="B112" s="16" t="s">
        <v>119</v>
      </c>
      <c r="C112" s="25">
        <v>495.65</v>
      </c>
      <c r="D112" s="25">
        <v>717.91000000000008</v>
      </c>
      <c r="E112" s="25">
        <v>8256</v>
      </c>
      <c r="F112" s="25">
        <v>3466.8599999999997</v>
      </c>
      <c r="G112" s="25">
        <f t="shared" si="3"/>
        <v>12936.419999999998</v>
      </c>
      <c r="H112" s="24" t="s">
        <v>13</v>
      </c>
    </row>
    <row r="113" spans="1:8" x14ac:dyDescent="0.35">
      <c r="A113" s="12"/>
      <c r="B113" s="16" t="s">
        <v>120</v>
      </c>
      <c r="C113" s="25">
        <v>0</v>
      </c>
      <c r="D113" s="25">
        <v>0</v>
      </c>
      <c r="E113" s="25">
        <v>2059.88</v>
      </c>
      <c r="F113" s="25">
        <v>65.22</v>
      </c>
      <c r="G113" s="25">
        <f t="shared" si="3"/>
        <v>2125.1</v>
      </c>
      <c r="H113" s="24" t="s">
        <v>13</v>
      </c>
    </row>
    <row r="114" spans="1:8" x14ac:dyDescent="0.35">
      <c r="A114" s="12"/>
      <c r="B114" s="16" t="s">
        <v>121</v>
      </c>
      <c r="C114" s="25">
        <v>4510.68</v>
      </c>
      <c r="D114" s="25">
        <v>1377.33</v>
      </c>
      <c r="E114" s="25">
        <v>5469.9400000000005</v>
      </c>
      <c r="F114" s="25">
        <v>5543</v>
      </c>
      <c r="G114" s="25">
        <f t="shared" si="3"/>
        <v>16900.95</v>
      </c>
      <c r="H114" s="24" t="s">
        <v>13</v>
      </c>
    </row>
    <row r="115" spans="1:8" x14ac:dyDescent="0.35">
      <c r="A115" s="12"/>
      <c r="B115" s="16" t="s">
        <v>122</v>
      </c>
      <c r="C115" s="25">
        <v>2398.06</v>
      </c>
      <c r="D115" s="25">
        <v>0</v>
      </c>
      <c r="E115" s="25">
        <v>4376.5300000000007</v>
      </c>
      <c r="F115" s="25">
        <v>4997.84</v>
      </c>
      <c r="G115" s="25">
        <f t="shared" si="3"/>
        <v>11772.43</v>
      </c>
      <c r="H115" s="24">
        <v>13734.98</v>
      </c>
    </row>
    <row r="116" spans="1:8" x14ac:dyDescent="0.35">
      <c r="A116" s="12"/>
      <c r="B116" s="16" t="s">
        <v>123</v>
      </c>
      <c r="C116" s="25">
        <v>0</v>
      </c>
      <c r="D116" s="25">
        <v>0</v>
      </c>
      <c r="E116" s="25">
        <v>0</v>
      </c>
      <c r="F116" s="25">
        <v>0</v>
      </c>
      <c r="G116" s="25">
        <f t="shared" si="3"/>
        <v>0</v>
      </c>
      <c r="H116" s="24" t="s">
        <v>13</v>
      </c>
    </row>
    <row r="117" spans="1:8" x14ac:dyDescent="0.35">
      <c r="A117" s="12"/>
      <c r="B117" s="16" t="s">
        <v>124</v>
      </c>
      <c r="C117" s="25">
        <v>0</v>
      </c>
      <c r="D117" s="25">
        <v>0</v>
      </c>
      <c r="E117" s="25">
        <v>1758.6</v>
      </c>
      <c r="F117" s="25">
        <v>0</v>
      </c>
      <c r="G117" s="25">
        <f t="shared" si="3"/>
        <v>1758.6</v>
      </c>
      <c r="H117" s="24" t="s">
        <v>13</v>
      </c>
    </row>
    <row r="118" spans="1:8" x14ac:dyDescent="0.35">
      <c r="A118" s="12"/>
      <c r="B118" s="16" t="s">
        <v>125</v>
      </c>
      <c r="C118" s="25">
        <v>0</v>
      </c>
      <c r="D118" s="25">
        <v>0</v>
      </c>
      <c r="E118" s="25">
        <v>1267.96</v>
      </c>
      <c r="F118" s="25">
        <v>0</v>
      </c>
      <c r="G118" s="25">
        <f t="shared" si="3"/>
        <v>1267.96</v>
      </c>
      <c r="H118" s="24" t="s">
        <v>13</v>
      </c>
    </row>
    <row r="119" spans="1:8" x14ac:dyDescent="0.35">
      <c r="A119" s="12"/>
      <c r="B119" s="16" t="s">
        <v>126</v>
      </c>
      <c r="C119" s="25">
        <v>6443.82</v>
      </c>
      <c r="D119" s="25">
        <v>0</v>
      </c>
      <c r="E119" s="25">
        <v>5963.99</v>
      </c>
      <c r="F119" s="25">
        <v>5471.43</v>
      </c>
      <c r="G119" s="25">
        <f t="shared" si="3"/>
        <v>17879.239999999998</v>
      </c>
      <c r="H119" s="24" t="s">
        <v>13</v>
      </c>
    </row>
    <row r="120" spans="1:8" x14ac:dyDescent="0.35">
      <c r="A120" s="12"/>
      <c r="B120" s="16" t="s">
        <v>127</v>
      </c>
      <c r="C120" s="25">
        <v>0</v>
      </c>
      <c r="D120" s="25">
        <v>0</v>
      </c>
      <c r="E120" s="25">
        <v>5035.45</v>
      </c>
      <c r="F120" s="25">
        <v>0</v>
      </c>
      <c r="G120" s="25">
        <f t="shared" si="3"/>
        <v>5035.45</v>
      </c>
      <c r="H120" s="24" t="s">
        <v>13</v>
      </c>
    </row>
    <row r="121" spans="1:8" x14ac:dyDescent="0.35">
      <c r="A121" s="12"/>
      <c r="B121" s="16" t="s">
        <v>128</v>
      </c>
      <c r="C121" s="25">
        <v>6443.82</v>
      </c>
      <c r="D121" s="25">
        <v>0</v>
      </c>
      <c r="E121" s="25">
        <v>4761.3900000000003</v>
      </c>
      <c r="F121" s="25">
        <v>4972.1499999999996</v>
      </c>
      <c r="G121" s="25">
        <f t="shared" si="3"/>
        <v>16177.359999999999</v>
      </c>
      <c r="H121" s="24" t="s">
        <v>13</v>
      </c>
    </row>
    <row r="122" spans="1:8" ht="15" thickBot="1" x14ac:dyDescent="0.4">
      <c r="A122" s="12"/>
      <c r="B122" s="16" t="s">
        <v>129</v>
      </c>
      <c r="C122" s="25">
        <v>6443.82</v>
      </c>
      <c r="D122" s="25">
        <v>0</v>
      </c>
      <c r="E122" s="25">
        <v>6647.92</v>
      </c>
      <c r="F122" s="25">
        <v>555.22</v>
      </c>
      <c r="G122" s="25">
        <f>SUM(C122:F122)</f>
        <v>13646.96</v>
      </c>
      <c r="H122" s="24" t="s">
        <v>13</v>
      </c>
    </row>
    <row r="123" spans="1:8" ht="15" thickBot="1" x14ac:dyDescent="0.4">
      <c r="A123" s="18" t="s">
        <v>130</v>
      </c>
      <c r="B123" s="34"/>
      <c r="C123" s="27">
        <f>SUBTOTAL(9,C63:C122)</f>
        <v>158143.59000000003</v>
      </c>
      <c r="D123" s="27">
        <f>SUBTOTAL(9,D63:D122)</f>
        <v>13858.78</v>
      </c>
      <c r="E123" s="27">
        <f>SUBTOTAL(9,E63:E122)</f>
        <v>231749.20000000004</v>
      </c>
      <c r="F123" s="27">
        <f>SUBTOTAL(9,F63:F122)</f>
        <v>124988.9</v>
      </c>
      <c r="G123" s="27">
        <f>SUBTOTAL(9,G63:G122)</f>
        <v>528740.47000000009</v>
      </c>
      <c r="H123" s="28">
        <f>SUM(H64:H122)</f>
        <v>13812.98</v>
      </c>
    </row>
    <row r="124" spans="1:8" x14ac:dyDescent="0.35">
      <c r="A124" s="4"/>
      <c r="B124" s="22"/>
      <c r="C124" s="30"/>
      <c r="D124" s="30"/>
      <c r="E124" s="30"/>
      <c r="F124" s="30"/>
      <c r="G124" s="36"/>
      <c r="H124" s="24"/>
    </row>
    <row r="125" spans="1:8" x14ac:dyDescent="0.35">
      <c r="A125" s="12" t="s">
        <v>131</v>
      </c>
      <c r="B125" s="37" t="s">
        <v>132</v>
      </c>
      <c r="C125" s="25">
        <v>3515.83</v>
      </c>
      <c r="D125" s="25">
        <v>145.63</v>
      </c>
      <c r="E125" s="25">
        <v>4090.0299999999997</v>
      </c>
      <c r="F125" s="25">
        <v>1715.75</v>
      </c>
      <c r="G125" s="25">
        <f t="shared" si="3"/>
        <v>9467.24</v>
      </c>
      <c r="H125" s="24" t="s">
        <v>13</v>
      </c>
    </row>
    <row r="126" spans="1:8" x14ac:dyDescent="0.35">
      <c r="A126" s="12"/>
      <c r="B126" s="22" t="s">
        <v>133</v>
      </c>
      <c r="C126" s="25">
        <v>2860.14</v>
      </c>
      <c r="D126" s="25">
        <v>363.12</v>
      </c>
      <c r="E126" s="25">
        <v>2726.42</v>
      </c>
      <c r="F126" s="25">
        <v>2231.42</v>
      </c>
      <c r="G126" s="25">
        <f t="shared" si="3"/>
        <v>8181.1</v>
      </c>
      <c r="H126" s="24" t="s">
        <v>13</v>
      </c>
    </row>
    <row r="127" spans="1:8" x14ac:dyDescent="0.35">
      <c r="A127" s="12"/>
      <c r="B127" s="22" t="s">
        <v>134</v>
      </c>
      <c r="C127" s="25">
        <v>1708.3600000000001</v>
      </c>
      <c r="D127" s="25">
        <v>736.49</v>
      </c>
      <c r="E127" s="25">
        <v>3268.99</v>
      </c>
      <c r="F127" s="25">
        <v>2258.33</v>
      </c>
      <c r="G127" s="25">
        <f t="shared" ref="G127:G135" si="4">SUM(C127:F127)</f>
        <v>7972.17</v>
      </c>
      <c r="H127" s="24" t="s">
        <v>13</v>
      </c>
    </row>
    <row r="128" spans="1:8" x14ac:dyDescent="0.35">
      <c r="A128" s="12"/>
      <c r="B128" s="22" t="s">
        <v>135</v>
      </c>
      <c r="C128" s="25">
        <v>4510.68</v>
      </c>
      <c r="D128" s="25">
        <v>545.23</v>
      </c>
      <c r="E128" s="25">
        <v>4041.16</v>
      </c>
      <c r="F128" s="25">
        <v>6281.4500000000007</v>
      </c>
      <c r="G128" s="25">
        <f t="shared" si="4"/>
        <v>15378.52</v>
      </c>
      <c r="H128" s="24" t="s">
        <v>13</v>
      </c>
    </row>
    <row r="129" spans="1:8" x14ac:dyDescent="0.35">
      <c r="A129" s="12"/>
      <c r="B129" s="22" t="s">
        <v>136</v>
      </c>
      <c r="C129" s="25">
        <v>1117.1599999999999</v>
      </c>
      <c r="D129" s="25">
        <v>834.96</v>
      </c>
      <c r="E129" s="25">
        <v>4278.5199999999995</v>
      </c>
      <c r="F129" s="25">
        <v>518.98</v>
      </c>
      <c r="G129" s="25">
        <f t="shared" si="4"/>
        <v>6749.619999999999</v>
      </c>
      <c r="H129" s="24" t="s">
        <v>13</v>
      </c>
    </row>
    <row r="130" spans="1:8" x14ac:dyDescent="0.35">
      <c r="A130" s="12"/>
      <c r="B130" s="22" t="s">
        <v>137</v>
      </c>
      <c r="C130" s="25">
        <v>6443.82</v>
      </c>
      <c r="D130" s="25">
        <v>0</v>
      </c>
      <c r="E130" s="25">
        <v>1832.85</v>
      </c>
      <c r="F130" s="25">
        <v>1994.93</v>
      </c>
      <c r="G130" s="25">
        <f t="shared" si="4"/>
        <v>10271.6</v>
      </c>
      <c r="H130" s="24" t="s">
        <v>13</v>
      </c>
    </row>
    <row r="131" spans="1:8" x14ac:dyDescent="0.35">
      <c r="A131" s="12"/>
      <c r="B131" s="22" t="s">
        <v>138</v>
      </c>
      <c r="C131" s="25">
        <v>6443.82</v>
      </c>
      <c r="D131" s="25">
        <v>556.52</v>
      </c>
      <c r="E131" s="25">
        <v>7520.94</v>
      </c>
      <c r="F131" s="25">
        <v>1458.17</v>
      </c>
      <c r="G131" s="25">
        <f t="shared" si="4"/>
        <v>15979.449999999999</v>
      </c>
      <c r="H131" s="24" t="s">
        <v>13</v>
      </c>
    </row>
    <row r="132" spans="1:8" x14ac:dyDescent="0.35">
      <c r="A132" s="12"/>
      <c r="B132" s="22" t="s">
        <v>139</v>
      </c>
      <c r="C132" s="25">
        <v>3729.35</v>
      </c>
      <c r="D132" s="25">
        <v>0</v>
      </c>
      <c r="E132" s="25">
        <v>4226.3200000000006</v>
      </c>
      <c r="F132" s="25">
        <v>4651.62</v>
      </c>
      <c r="G132" s="25">
        <f t="shared" si="4"/>
        <v>12607.29</v>
      </c>
      <c r="H132" s="24" t="s">
        <v>13</v>
      </c>
    </row>
    <row r="133" spans="1:8" x14ac:dyDescent="0.35">
      <c r="A133" s="12"/>
      <c r="B133" s="22" t="s">
        <v>140</v>
      </c>
      <c r="C133" s="25">
        <v>5640.4</v>
      </c>
      <c r="D133" s="25">
        <v>0</v>
      </c>
      <c r="E133" s="25">
        <v>9425.08</v>
      </c>
      <c r="F133" s="25">
        <v>3033.82</v>
      </c>
      <c r="G133" s="25">
        <f t="shared" si="4"/>
        <v>18099.3</v>
      </c>
      <c r="H133" s="24" t="s">
        <v>13</v>
      </c>
    </row>
    <row r="134" spans="1:8" x14ac:dyDescent="0.35">
      <c r="A134" s="12"/>
      <c r="B134" s="22" t="s">
        <v>141</v>
      </c>
      <c r="C134" s="25">
        <v>6443.82</v>
      </c>
      <c r="D134" s="25">
        <v>331.74</v>
      </c>
      <c r="E134" s="25">
        <v>5280.67</v>
      </c>
      <c r="F134" s="25">
        <v>4169.2700000000004</v>
      </c>
      <c r="G134" s="25">
        <f t="shared" si="4"/>
        <v>16225.5</v>
      </c>
      <c r="H134" s="24" t="s">
        <v>13</v>
      </c>
    </row>
    <row r="135" spans="1:8" ht="15" thickBot="1" x14ac:dyDescent="0.4">
      <c r="A135" s="8"/>
      <c r="B135" s="22" t="s">
        <v>142</v>
      </c>
      <c r="C135" s="25">
        <v>5907.7900000000009</v>
      </c>
      <c r="D135" s="25">
        <v>905</v>
      </c>
      <c r="E135" s="25">
        <v>7117.37</v>
      </c>
      <c r="F135" s="25">
        <v>3936.97</v>
      </c>
      <c r="G135" s="25">
        <f t="shared" si="4"/>
        <v>17867.13</v>
      </c>
      <c r="H135" s="24" t="s">
        <v>13</v>
      </c>
    </row>
    <row r="136" spans="1:8" ht="15" thickBot="1" x14ac:dyDescent="0.4">
      <c r="A136" s="18" t="s">
        <v>143</v>
      </c>
      <c r="B136" s="32"/>
      <c r="C136" s="27">
        <f>SUBTOTAL(9,C125:C135)</f>
        <v>48321.17</v>
      </c>
      <c r="D136" s="27">
        <f>SUBTOTAL(9,D125:D135)</f>
        <v>4418.6900000000005</v>
      </c>
      <c r="E136" s="27">
        <f>SUBTOTAL(9,E125:E135)</f>
        <v>53808.35</v>
      </c>
      <c r="F136" s="27">
        <f>SUBTOTAL(9,F125:F135)</f>
        <v>32250.71</v>
      </c>
      <c r="G136" s="27">
        <f>SUBTOTAL(9,G125:G135)</f>
        <v>138798.91999999998</v>
      </c>
      <c r="H136" s="21" t="s">
        <v>13</v>
      </c>
    </row>
    <row r="137" spans="1:8" x14ac:dyDescent="0.35">
      <c r="A137" s="12"/>
      <c r="B137" s="33"/>
      <c r="C137" s="25"/>
      <c r="D137" s="25"/>
      <c r="E137" s="25"/>
      <c r="F137" s="25"/>
      <c r="G137" s="31"/>
      <c r="H137" s="24"/>
    </row>
    <row r="138" spans="1:8" ht="15" thickBot="1" x14ac:dyDescent="0.4">
      <c r="A138" s="8" t="s">
        <v>144</v>
      </c>
      <c r="B138" s="15" t="s">
        <v>145</v>
      </c>
      <c r="C138" s="38">
        <v>0</v>
      </c>
      <c r="D138" s="38">
        <v>0</v>
      </c>
      <c r="E138" s="38">
        <v>422.67</v>
      </c>
      <c r="F138" s="38">
        <v>0</v>
      </c>
      <c r="G138" s="38">
        <f>SUM(C138:F138)</f>
        <v>422.67</v>
      </c>
      <c r="H138" s="24" t="s">
        <v>13</v>
      </c>
    </row>
    <row r="139" spans="1:8" ht="15" thickBot="1" x14ac:dyDescent="0.4">
      <c r="A139" s="8" t="s">
        <v>146</v>
      </c>
      <c r="B139" s="19"/>
      <c r="C139" s="39">
        <f>SUBTOTAL(9,C138)</f>
        <v>0</v>
      </c>
      <c r="D139" s="39">
        <f>SUBTOTAL(9,D138)</f>
        <v>0</v>
      </c>
      <c r="E139" s="39">
        <f>SUBTOTAL(9,E138)</f>
        <v>422.67</v>
      </c>
      <c r="F139" s="39">
        <f>SUBTOTAL(9,F138)</f>
        <v>0</v>
      </c>
      <c r="G139" s="39">
        <f>SUBTOTAL(9,G138)</f>
        <v>422.67</v>
      </c>
      <c r="H139" s="21" t="s">
        <v>13</v>
      </c>
    </row>
    <row r="140" spans="1:8" ht="15" thickBot="1" x14ac:dyDescent="0.4">
      <c r="A140" s="8"/>
      <c r="B140" s="19"/>
      <c r="C140" s="38"/>
      <c r="D140" s="38"/>
      <c r="E140" s="38"/>
      <c r="F140" s="38"/>
      <c r="G140" s="39"/>
      <c r="H140" s="24"/>
    </row>
    <row r="141" spans="1:8" ht="15" thickBot="1" x14ac:dyDescent="0.4">
      <c r="A141" s="8" t="s">
        <v>5</v>
      </c>
      <c r="B141" s="19"/>
      <c r="C141" s="39">
        <f>SUBTOTAL(9,C6:C139)</f>
        <v>381120.88000000012</v>
      </c>
      <c r="D141" s="39">
        <f>SUBTOTAL(9,D6:D139)</f>
        <v>68742.36000000003</v>
      </c>
      <c r="E141" s="39">
        <f>SUBTOTAL(9,E6:E139)</f>
        <v>615787.72999999986</v>
      </c>
      <c r="F141" s="39">
        <f>SUBTOTAL(9,F6:F139)</f>
        <v>326867.56999999995</v>
      </c>
      <c r="G141" s="39">
        <f>SUBTOTAL(9,G6:G139)</f>
        <v>1392518.54</v>
      </c>
      <c r="H141" s="28">
        <f>SUM(H123,H61,H57,H23)</f>
        <v>41916.33</v>
      </c>
    </row>
  </sheetData>
  <mergeCells count="2">
    <mergeCell ref="A1:G1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dcterms:created xsi:type="dcterms:W3CDTF">2024-05-29T22:59:47Z</dcterms:created>
  <dcterms:modified xsi:type="dcterms:W3CDTF">2024-05-29T23:01:56Z</dcterms:modified>
</cp:coreProperties>
</file>