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svmfs07\mydocs$\BEAUFORK\Desktop\"/>
    </mc:Choice>
  </mc:AlternateContent>
  <bookViews>
    <workbookView xWindow="0" yWindow="0" windowWidth="23040" windowHeight="9120"/>
  </bookViews>
  <sheets>
    <sheet name="All Parti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143" i="1" s="1"/>
  <c r="H138" i="1"/>
  <c r="H124" i="1"/>
  <c r="H59" i="1"/>
</calcChain>
</file>

<file path=xl/sharedStrings.xml><?xml version="1.0" encoding="utf-8"?>
<sst xmlns="http://schemas.openxmlformats.org/spreadsheetml/2006/main" count="149" uniqueCount="148">
  <si>
    <t>Members Expense Disclosure - October to December 2016</t>
  </si>
  <si>
    <t>Party</t>
  </si>
  <si>
    <t>Member</t>
  </si>
  <si>
    <t>Accommodation</t>
  </si>
  <si>
    <t>Travel</t>
  </si>
  <si>
    <t>Grand Total</t>
  </si>
  <si>
    <t>Wellington</t>
  </si>
  <si>
    <t>Non Wellington</t>
  </si>
  <si>
    <t>Air</t>
  </si>
  <si>
    <t>Surface</t>
  </si>
  <si>
    <t>Act</t>
  </si>
  <si>
    <t>Act Total</t>
  </si>
  <si>
    <t>Green</t>
  </si>
  <si>
    <t>Davidson Marama</t>
  </si>
  <si>
    <t>Green Total</t>
  </si>
  <si>
    <t>Labour</t>
  </si>
  <si>
    <t>Labour Total</t>
  </si>
  <si>
    <t>Maori</t>
  </si>
  <si>
    <t>Maori Total</t>
  </si>
  <si>
    <t>National</t>
  </si>
  <si>
    <t>Pugh Maureen</t>
  </si>
  <si>
    <t>National Total</t>
  </si>
  <si>
    <t>New Zealand First</t>
  </si>
  <si>
    <t>New Zealand First Total</t>
  </si>
  <si>
    <t>United Future</t>
  </si>
  <si>
    <t>United Future Total</t>
  </si>
  <si>
    <t>Seymour David</t>
  </si>
  <si>
    <t>Browning Steffan</t>
  </si>
  <si>
    <t>Clendon David</t>
  </si>
  <si>
    <t>Coates Barry</t>
  </si>
  <si>
    <t>Genter Julie-Anne</t>
  </si>
  <si>
    <t>Graham Kennedy</t>
  </si>
  <si>
    <t>Hague Kevin</t>
  </si>
  <si>
    <t>Hughes Gareth</t>
  </si>
  <si>
    <t>Logie Jan</t>
  </si>
  <si>
    <t>Mathers Mojo</t>
  </si>
  <si>
    <t>Roche Denise</t>
  </si>
  <si>
    <t>Sage Eugenie</t>
  </si>
  <si>
    <t>Shaw James</t>
  </si>
  <si>
    <t>Turei Metiria</t>
  </si>
  <si>
    <t>Ardern Jacinda</t>
  </si>
  <si>
    <t>Clark David</t>
  </si>
  <si>
    <t>Cosgrove Clayton</t>
  </si>
  <si>
    <t>Cunliffe David</t>
  </si>
  <si>
    <t>Curran Clare</t>
  </si>
  <si>
    <t>Davis Kelvin</t>
  </si>
  <si>
    <t>Dyson Ruth</t>
  </si>
  <si>
    <t>Faafoi Kris</t>
  </si>
  <si>
    <t>Goff Phil</t>
  </si>
  <si>
    <t>Henare Peeni</t>
  </si>
  <si>
    <t>Hipkins Chris</t>
  </si>
  <si>
    <t>King Annette</t>
  </si>
  <si>
    <t>Lees-Galloway Iain</t>
  </si>
  <si>
    <t>Little Andrew</t>
  </si>
  <si>
    <t>Mahuta Nanaia</t>
  </si>
  <si>
    <t>Mallard Trevor</t>
  </si>
  <si>
    <t>Moroney Sue</t>
  </si>
  <si>
    <t>Nash Stuart</t>
  </si>
  <si>
    <t>O'Connor Damien</t>
  </si>
  <si>
    <t>Parker David</t>
  </si>
  <si>
    <t>Robertson Grant</t>
  </si>
  <si>
    <t>Rurawhe Adrian</t>
  </si>
  <si>
    <t>Sepuloni Carmel</t>
  </si>
  <si>
    <t>Shearer David</t>
  </si>
  <si>
    <t>Salesa Jenny</t>
  </si>
  <si>
    <t>Sio Su'a William</t>
  </si>
  <si>
    <t>Tirikatene Rino</t>
  </si>
  <si>
    <t>Twyford Phil</t>
  </si>
  <si>
    <t>Wall Louisa</t>
  </si>
  <si>
    <t>Whaitiri Meka</t>
  </si>
  <si>
    <t>Williams Poto</t>
  </si>
  <si>
    <t>Wood Michael</t>
  </si>
  <si>
    <t>Woods Megan</t>
  </si>
  <si>
    <t>Flavell Te Ururoa</t>
  </si>
  <si>
    <t>Fox Marama</t>
  </si>
  <si>
    <t>Adams Amy</t>
  </si>
  <si>
    <t>Bakshi Kanwaljit Singh</t>
  </si>
  <si>
    <t>Barclay Todd</t>
  </si>
  <si>
    <t>Barry Maggie</t>
  </si>
  <si>
    <t>Bayly Andrew</t>
  </si>
  <si>
    <t>Bennett David</t>
  </si>
  <si>
    <t>Bennett Paula</t>
  </si>
  <si>
    <t>Bishop Chris</t>
  </si>
  <si>
    <t>Borrows Chester</t>
  </si>
  <si>
    <t>Bridges Simon</t>
  </si>
  <si>
    <t>Brownlee Gerry</t>
  </si>
  <si>
    <t>Carter David</t>
  </si>
  <si>
    <t>Coleman Jonathan</t>
  </si>
  <si>
    <t>Collins Judith</t>
  </si>
  <si>
    <t>Dean Jacqui</t>
  </si>
  <si>
    <t>Doocey Matt</t>
  </si>
  <si>
    <t>Dowie Sarah</t>
  </si>
  <si>
    <t>English Bill</t>
  </si>
  <si>
    <t>Finlayson Chris</t>
  </si>
  <si>
    <t>Foss Craig</t>
  </si>
  <si>
    <t>Foster-Bell Paul</t>
  </si>
  <si>
    <t>Goldsmith Paul</t>
  </si>
  <si>
    <t>Goodhew Jo</t>
  </si>
  <si>
    <t>Guy Nathan</t>
  </si>
  <si>
    <t>Hayes Joanne</t>
  </si>
  <si>
    <t>Hudson Brett</t>
  </si>
  <si>
    <t>Joyce Steven</t>
  </si>
  <si>
    <t>Kaye Nikki</t>
  </si>
  <si>
    <t>Key John</t>
  </si>
  <si>
    <t>Korako Nuk</t>
  </si>
  <si>
    <t>Kuriger Barbara</t>
  </si>
  <si>
    <t>Lee Melissa</t>
  </si>
  <si>
    <t>Lotu-liga Peseta Sam</t>
  </si>
  <si>
    <t>Macindoe Tim</t>
  </si>
  <si>
    <t>McClay Todd</t>
  </si>
  <si>
    <t>McCully Murray</t>
  </si>
  <si>
    <t>McKelvie Ian</t>
  </si>
  <si>
    <t>Mitchell Mark</t>
  </si>
  <si>
    <t>Muller Todd</t>
  </si>
  <si>
    <t>Naylor Jono</t>
  </si>
  <si>
    <t>Ngaro Alfred</t>
  </si>
  <si>
    <t>O'Connor Simon</t>
  </si>
  <si>
    <t>Parata Hekia</t>
  </si>
  <si>
    <t>Parmar Parmjeet</t>
  </si>
  <si>
    <t>Reti Shane</t>
  </si>
  <si>
    <t>Ross Jami-Lee</t>
  </si>
  <si>
    <t>Scott Alastair</t>
  </si>
  <si>
    <t>Smith Stuart</t>
  </si>
  <si>
    <t>Smith Nick</t>
  </si>
  <si>
    <t>Simpson Scott</t>
  </si>
  <si>
    <t>Tisch Lindsay</t>
  </si>
  <si>
    <t>Tolley Anne</t>
  </si>
  <si>
    <t>Upston Louise</t>
  </si>
  <si>
    <t>Wagner Nicky</t>
  </si>
  <si>
    <t>Williamson Maurice</t>
  </si>
  <si>
    <t>Woodhouse Michael</t>
  </si>
  <si>
    <t>Yang Jian</t>
  </si>
  <si>
    <t>Young Jonathan</t>
  </si>
  <si>
    <t>Ball Darroch</t>
  </si>
  <si>
    <t>Bindra Mahesh</t>
  </si>
  <si>
    <t>Bond Ria</t>
  </si>
  <si>
    <t>Mark Ron</t>
  </si>
  <si>
    <t>Martin Tracey</t>
  </si>
  <si>
    <t>Mitchell Clayton</t>
  </si>
  <si>
    <t>O'Rourke Denis</t>
  </si>
  <si>
    <t>Paraone Pita</t>
  </si>
  <si>
    <t>Peters Winston</t>
  </si>
  <si>
    <t>Prosser Richard</t>
  </si>
  <si>
    <t>Stewart Barbara</t>
  </si>
  <si>
    <t>Tabuteau Fletcher</t>
  </si>
  <si>
    <t>Dunne Peter</t>
  </si>
  <si>
    <t>Delahunty Catherine</t>
  </si>
  <si>
    <t>Inter parliamentary - Office of the Clerk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</si>
</sst>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_-* #,##0_-;[Red]\(#,##0\);_-* &quot;-&quot;_-;_-@_-"/>
    <numFmt numFmtId="166" formatCode="#,##0_ ;[Red]\-#,##0\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Border="1"/>
    <xf numFmtId="0" fontId="0" fillId="2" borderId="0" xfId="0" applyFill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/>
    <xf numFmtId="0" fontId="2" fillId="2" borderId="4" xfId="0" applyFont="1" applyFill="1" applyBorder="1"/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/>
    <xf numFmtId="0" fontId="2" fillId="2" borderId="6" xfId="0" applyFont="1" applyFill="1" applyBorder="1"/>
    <xf numFmtId="164" fontId="0" fillId="2" borderId="3" xfId="1" applyNumberFormat="1" applyFont="1" applyFill="1" applyBorder="1"/>
    <xf numFmtId="164" fontId="0" fillId="2" borderId="5" xfId="1" applyNumberFormat="1" applyFont="1" applyFill="1" applyBorder="1"/>
    <xf numFmtId="164" fontId="2" fillId="2" borderId="5" xfId="1" applyNumberFormat="1" applyFont="1" applyFill="1" applyBorder="1"/>
    <xf numFmtId="0" fontId="2" fillId="2" borderId="7" xfId="0" applyFont="1" applyFill="1" applyBorder="1"/>
    <xf numFmtId="0" fontId="0" fillId="2" borderId="4" xfId="0" applyFill="1" applyBorder="1"/>
    <xf numFmtId="164" fontId="2" fillId="2" borderId="7" xfId="1" applyNumberFormat="1" applyFont="1" applyFill="1" applyBorder="1"/>
    <xf numFmtId="0" fontId="0" fillId="2" borderId="6" xfId="0" applyFill="1" applyBorder="1"/>
    <xf numFmtId="165" fontId="0" fillId="2" borderId="5" xfId="1" applyNumberFormat="1" applyFont="1" applyFill="1" applyBorder="1"/>
    <xf numFmtId="165" fontId="2" fillId="2" borderId="5" xfId="1" applyNumberFormat="1" applyFont="1" applyFill="1" applyBorder="1"/>
    <xf numFmtId="164" fontId="0" fillId="2" borderId="8" xfId="1" applyNumberFormat="1" applyFont="1" applyFill="1" applyBorder="1"/>
    <xf numFmtId="165" fontId="2" fillId="2" borderId="7" xfId="1" applyNumberFormat="1" applyFont="1" applyFill="1" applyBorder="1"/>
    <xf numFmtId="164" fontId="0" fillId="2" borderId="9" xfId="1" applyNumberFormat="1" applyFont="1" applyFill="1" applyBorder="1"/>
    <xf numFmtId="165" fontId="0" fillId="2" borderId="1" xfId="1" applyNumberFormat="1" applyFont="1" applyFill="1" applyBorder="1"/>
    <xf numFmtId="0" fontId="0" fillId="2" borderId="7" xfId="0" applyFill="1" applyBorder="1"/>
    <xf numFmtId="0" fontId="0" fillId="2" borderId="1" xfId="0" applyFill="1" applyBorder="1"/>
    <xf numFmtId="0" fontId="0" fillId="2" borderId="10" xfId="0" applyFill="1" applyBorder="1"/>
    <xf numFmtId="0" fontId="0" fillId="2" borderId="2" xfId="0" applyFill="1" applyBorder="1"/>
    <xf numFmtId="165" fontId="2" fillId="2" borderId="1" xfId="1" applyNumberFormat="1" applyFont="1" applyFill="1" applyBorder="1"/>
    <xf numFmtId="0" fontId="0" fillId="2" borderId="5" xfId="0" applyFill="1" applyBorder="1"/>
    <xf numFmtId="165" fontId="0" fillId="2" borderId="3" xfId="1" applyNumberFormat="1" applyFont="1" applyFill="1" applyBorder="1"/>
    <xf numFmtId="165" fontId="2" fillId="2" borderId="3" xfId="1" applyNumberFormat="1" applyFont="1" applyFill="1" applyBorder="1"/>
    <xf numFmtId="0" fontId="2" fillId="2" borderId="9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0" fillId="0" borderId="3" xfId="0" applyBorder="1"/>
    <xf numFmtId="0" fontId="2" fillId="0" borderId="7" xfId="0" applyFont="1" applyBorder="1"/>
    <xf numFmtId="41" fontId="0" fillId="0" borderId="7" xfId="2" applyFont="1" applyBorder="1"/>
    <xf numFmtId="43" fontId="0" fillId="2" borderId="5" xfId="1" applyFont="1" applyFill="1" applyBorder="1"/>
    <xf numFmtId="41" fontId="2" fillId="0" borderId="5" xfId="2" applyFont="1" applyBorder="1"/>
    <xf numFmtId="41" fontId="2" fillId="0" borderId="1" xfId="2" applyFont="1" applyBorder="1"/>
    <xf numFmtId="165" fontId="2" fillId="2" borderId="12" xfId="1" applyNumberFormat="1" applyFont="1" applyFill="1" applyBorder="1"/>
    <xf numFmtId="165" fontId="2" fillId="2" borderId="13" xfId="1" applyNumberFormat="1" applyFont="1" applyFill="1" applyBorder="1"/>
    <xf numFmtId="41" fontId="2" fillId="0" borderId="3" xfId="2" applyFont="1" applyBorder="1"/>
    <xf numFmtId="41" fontId="2" fillId="0" borderId="7" xfId="2" applyFont="1" applyBorder="1"/>
    <xf numFmtId="41" fontId="0" fillId="0" borderId="1" xfId="2" applyFont="1" applyBorder="1"/>
    <xf numFmtId="41" fontId="0" fillId="0" borderId="5" xfId="2" applyFont="1" applyBorder="1"/>
    <xf numFmtId="164" fontId="2" fillId="2" borderId="12" xfId="1" applyNumberFormat="1" applyFont="1" applyFill="1" applyBorder="1"/>
    <xf numFmtId="166" fontId="2" fillId="0" borderId="5" xfId="0" applyNumberFormat="1" applyFont="1" applyBorder="1"/>
    <xf numFmtId="166" fontId="2" fillId="0" borderId="1" xfId="0" applyNumberFormat="1" applyFont="1" applyBorder="1"/>
    <xf numFmtId="166" fontId="2" fillId="0" borderId="7" xfId="0" applyNumberFormat="1" applyFont="1" applyBorder="1"/>
    <xf numFmtId="166" fontId="2" fillId="0" borderId="3" xfId="0" applyNumberFormat="1" applyFont="1" applyBorder="1"/>
    <xf numFmtId="0" fontId="3" fillId="2" borderId="0" xfId="0" applyFont="1" applyFill="1" applyAlignment="1">
      <alignment horizontal="center" wrapText="1"/>
    </xf>
    <xf numFmtId="43" fontId="0" fillId="0" borderId="1" xfId="1" applyFont="1" applyBorder="1"/>
    <xf numFmtId="43" fontId="0" fillId="0" borderId="3" xfId="1" applyFont="1" applyBorder="1"/>
    <xf numFmtId="43" fontId="2" fillId="0" borderId="1" xfId="1" applyFont="1" applyBorder="1" applyAlignment="1">
      <alignment horizontal="left" indent="1"/>
    </xf>
    <xf numFmtId="43" fontId="2" fillId="0" borderId="5" xfId="1" applyFont="1" applyBorder="1" applyAlignment="1">
      <alignment horizontal="left" inden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43"/>
  <sheetViews>
    <sheetView tabSelected="1" zoomScale="90" zoomScaleNormal="90" workbookViewId="0">
      <selection activeCell="M139" sqref="M139"/>
    </sheetView>
  </sheetViews>
  <sheetFormatPr defaultColWidth="9.140625" defaultRowHeight="15" x14ac:dyDescent="0.25"/>
  <cols>
    <col min="1" max="1" width="18.28515625" style="2" customWidth="1"/>
    <col min="2" max="2" width="26.5703125" style="2" bestFit="1" customWidth="1"/>
    <col min="3" max="3" width="15.7109375" style="2" bestFit="1" customWidth="1"/>
    <col min="4" max="4" width="15.28515625" style="2" bestFit="1" customWidth="1"/>
    <col min="5" max="6" width="13.28515625" style="2" customWidth="1"/>
    <col min="7" max="7" width="13.28515625" style="2" bestFit="1" customWidth="1"/>
    <col min="8" max="8" width="19.7109375" style="1" customWidth="1"/>
  </cols>
  <sheetData>
    <row r="1" spans="1:8" ht="45" customHeight="1" x14ac:dyDescent="0.25">
      <c r="A1" s="52" t="s">
        <v>0</v>
      </c>
      <c r="B1" s="52"/>
      <c r="C1" s="52"/>
      <c r="D1" s="52"/>
      <c r="E1" s="52"/>
      <c r="F1" s="52"/>
      <c r="G1" s="52"/>
    </row>
    <row r="2" spans="1:8" ht="15.75" thickBot="1" x14ac:dyDescent="0.3"/>
    <row r="3" spans="1:8" ht="30" x14ac:dyDescent="0.25">
      <c r="A3" s="3" t="s">
        <v>1</v>
      </c>
      <c r="B3" s="4" t="s">
        <v>2</v>
      </c>
      <c r="C3" s="5" t="s">
        <v>3</v>
      </c>
      <c r="D3" s="5"/>
      <c r="E3" s="5" t="s">
        <v>4</v>
      </c>
      <c r="F3" s="5"/>
      <c r="G3" s="32" t="s">
        <v>5</v>
      </c>
      <c r="H3" s="34" t="s">
        <v>147</v>
      </c>
    </row>
    <row r="4" spans="1:8" ht="15.75" thickBot="1" x14ac:dyDescent="0.3">
      <c r="A4" s="6"/>
      <c r="B4" s="7"/>
      <c r="C4" s="8" t="s">
        <v>6</v>
      </c>
      <c r="D4" s="8" t="s">
        <v>7</v>
      </c>
      <c r="E4" s="8" t="s">
        <v>8</v>
      </c>
      <c r="F4" s="8" t="s">
        <v>9</v>
      </c>
      <c r="G4" s="33"/>
      <c r="H4" s="35"/>
    </row>
    <row r="5" spans="1:8" x14ac:dyDescent="0.25">
      <c r="A5" s="9"/>
      <c r="B5" s="10"/>
      <c r="C5" s="9"/>
      <c r="D5" s="9"/>
      <c r="E5" s="9"/>
      <c r="F5" s="9"/>
      <c r="G5" s="9"/>
      <c r="H5" s="53">
        <v>0</v>
      </c>
    </row>
    <row r="6" spans="1:8" ht="15.75" thickBot="1" x14ac:dyDescent="0.3">
      <c r="A6" s="9" t="s">
        <v>10</v>
      </c>
      <c r="B6" s="11" t="s">
        <v>26</v>
      </c>
      <c r="C6" s="12">
        <v>0</v>
      </c>
      <c r="D6" s="12">
        <v>0</v>
      </c>
      <c r="E6" s="12">
        <v>0</v>
      </c>
      <c r="F6" s="12">
        <v>-9.0000000000145519E-2</v>
      </c>
      <c r="G6" s="13">
        <v>-9.0000000000145519E-2</v>
      </c>
      <c r="H6" s="54"/>
    </row>
    <row r="7" spans="1:8" ht="15.75" thickBot="1" x14ac:dyDescent="0.3">
      <c r="A7" s="14" t="s">
        <v>11</v>
      </c>
      <c r="B7" s="15"/>
      <c r="C7" s="16">
        <v>0</v>
      </c>
      <c r="D7" s="16">
        <v>0</v>
      </c>
      <c r="E7" s="16">
        <v>0</v>
      </c>
      <c r="F7" s="16">
        <v>-9.0000000000145519E-2</v>
      </c>
      <c r="G7" s="16">
        <v>-9.0000000000145519E-2</v>
      </c>
      <c r="H7" s="37"/>
    </row>
    <row r="8" spans="1:8" x14ac:dyDescent="0.25">
      <c r="A8" s="9"/>
      <c r="B8" s="17"/>
      <c r="C8" s="12"/>
      <c r="D8" s="12"/>
      <c r="E8" s="12"/>
      <c r="F8" s="12"/>
      <c r="G8" s="47"/>
      <c r="H8" s="55">
        <v>0</v>
      </c>
    </row>
    <row r="9" spans="1:8" x14ac:dyDescent="0.25">
      <c r="A9" s="9" t="s">
        <v>12</v>
      </c>
      <c r="B9" s="12" t="s">
        <v>27</v>
      </c>
      <c r="C9" s="18">
        <v>7517.7900000000009</v>
      </c>
      <c r="D9" s="18">
        <v>1458.0800000000002</v>
      </c>
      <c r="E9" s="18">
        <v>10384.790000000001</v>
      </c>
      <c r="F9" s="18">
        <v>4459.78</v>
      </c>
      <c r="G9" s="41">
        <v>23820.440000000002</v>
      </c>
      <c r="H9" s="56"/>
    </row>
    <row r="10" spans="1:8" x14ac:dyDescent="0.25">
      <c r="A10" s="9"/>
      <c r="B10" s="12" t="s">
        <v>28</v>
      </c>
      <c r="C10" s="18">
        <v>7517.7900000000009</v>
      </c>
      <c r="D10" s="18">
        <v>492.73</v>
      </c>
      <c r="E10" s="18">
        <v>5405.8099999999995</v>
      </c>
      <c r="F10" s="18">
        <v>2097.5699999999997</v>
      </c>
      <c r="G10" s="41">
        <v>15513.9</v>
      </c>
      <c r="H10" s="48">
        <v>12306</v>
      </c>
    </row>
    <row r="11" spans="1:8" x14ac:dyDescent="0.25">
      <c r="A11" s="9"/>
      <c r="B11" s="12" t="s">
        <v>29</v>
      </c>
      <c r="C11" s="18">
        <v>2844</v>
      </c>
      <c r="D11" s="18">
        <v>62</v>
      </c>
      <c r="E11" s="18">
        <v>8020</v>
      </c>
      <c r="F11" s="18">
        <v>1357</v>
      </c>
      <c r="G11" s="41">
        <v>12283</v>
      </c>
      <c r="H11" s="39">
        <v>0</v>
      </c>
    </row>
    <row r="12" spans="1:8" x14ac:dyDescent="0.25">
      <c r="A12" s="9"/>
      <c r="B12" s="12" t="s">
        <v>13</v>
      </c>
      <c r="C12" s="18">
        <v>7517.7900000000009</v>
      </c>
      <c r="D12" s="18">
        <v>1652.79</v>
      </c>
      <c r="E12" s="18">
        <v>11241.289999999999</v>
      </c>
      <c r="F12" s="18">
        <v>4624.41</v>
      </c>
      <c r="G12" s="41">
        <v>25036.280000000002</v>
      </c>
      <c r="H12" s="39">
        <v>0</v>
      </c>
    </row>
    <row r="13" spans="1:8" x14ac:dyDescent="0.25">
      <c r="A13" s="9"/>
      <c r="B13" s="12" t="s">
        <v>146</v>
      </c>
      <c r="C13" s="18">
        <v>5262.46</v>
      </c>
      <c r="D13" s="18">
        <v>737.81999999999994</v>
      </c>
      <c r="E13" s="18">
        <v>5337.96</v>
      </c>
      <c r="F13" s="18">
        <v>3762.11</v>
      </c>
      <c r="G13" s="41">
        <v>15100.35</v>
      </c>
      <c r="H13" s="39">
        <v>0</v>
      </c>
    </row>
    <row r="14" spans="1:8" x14ac:dyDescent="0.25">
      <c r="A14" s="9"/>
      <c r="B14" s="12" t="s">
        <v>30</v>
      </c>
      <c r="C14" s="18">
        <v>5262.46</v>
      </c>
      <c r="D14" s="18">
        <v>389.22</v>
      </c>
      <c r="E14" s="18">
        <v>7055.17</v>
      </c>
      <c r="F14" s="18">
        <v>1872.12</v>
      </c>
      <c r="G14" s="41">
        <v>14578.970000000001</v>
      </c>
      <c r="H14" s="39">
        <v>0</v>
      </c>
    </row>
    <row r="15" spans="1:8" x14ac:dyDescent="0.25">
      <c r="A15" s="9"/>
      <c r="B15" s="12" t="s">
        <v>31</v>
      </c>
      <c r="C15" s="18">
        <v>7517.7900000000009</v>
      </c>
      <c r="D15" s="18">
        <v>0</v>
      </c>
      <c r="E15" s="18">
        <v>20464.640000000003</v>
      </c>
      <c r="F15" s="18">
        <v>2308.08</v>
      </c>
      <c r="G15" s="41">
        <v>30290.510000000002</v>
      </c>
      <c r="H15" s="39">
        <v>0</v>
      </c>
    </row>
    <row r="16" spans="1:8" x14ac:dyDescent="0.25">
      <c r="A16" s="9"/>
      <c r="B16" s="12" t="s">
        <v>32</v>
      </c>
      <c r="C16" s="18">
        <v>2991.78</v>
      </c>
      <c r="D16" s="18">
        <v>0</v>
      </c>
      <c r="E16" s="18">
        <v>0</v>
      </c>
      <c r="F16" s="18">
        <v>420</v>
      </c>
      <c r="G16" s="41">
        <v>3411.78</v>
      </c>
      <c r="H16" s="39">
        <v>0</v>
      </c>
    </row>
    <row r="17" spans="1:8" x14ac:dyDescent="0.25">
      <c r="A17" s="9"/>
      <c r="B17" s="12" t="s">
        <v>33</v>
      </c>
      <c r="C17" s="18">
        <v>0</v>
      </c>
      <c r="D17" s="18">
        <v>753.1</v>
      </c>
      <c r="E17" s="18">
        <v>8195.130000000001</v>
      </c>
      <c r="F17" s="18">
        <v>2239.63</v>
      </c>
      <c r="G17" s="41">
        <v>11187.86</v>
      </c>
      <c r="H17" s="39">
        <v>0</v>
      </c>
    </row>
    <row r="18" spans="1:8" x14ac:dyDescent="0.25">
      <c r="A18" s="9"/>
      <c r="B18" s="12" t="s">
        <v>34</v>
      </c>
      <c r="C18" s="18">
        <v>146.96</v>
      </c>
      <c r="D18" s="18">
        <v>1100.97</v>
      </c>
      <c r="E18" s="18">
        <v>5947.74</v>
      </c>
      <c r="F18" s="18">
        <v>5400.75</v>
      </c>
      <c r="G18" s="41">
        <v>12596.42</v>
      </c>
      <c r="H18" s="48">
        <v>11141</v>
      </c>
    </row>
    <row r="19" spans="1:8" x14ac:dyDescent="0.25">
      <c r="A19" s="9"/>
      <c r="B19" s="12" t="s">
        <v>35</v>
      </c>
      <c r="C19" s="18">
        <v>7517.7900000000009</v>
      </c>
      <c r="D19" s="18">
        <v>140</v>
      </c>
      <c r="E19" s="18">
        <v>7309.41</v>
      </c>
      <c r="F19" s="18">
        <v>6061.88</v>
      </c>
      <c r="G19" s="41">
        <v>21029.08</v>
      </c>
      <c r="H19" s="39">
        <v>0</v>
      </c>
    </row>
    <row r="20" spans="1:8" x14ac:dyDescent="0.25">
      <c r="A20" s="9"/>
      <c r="B20" s="12" t="s">
        <v>36</v>
      </c>
      <c r="C20" s="18">
        <v>7517.7900000000009</v>
      </c>
      <c r="D20" s="18">
        <v>1447.09</v>
      </c>
      <c r="E20" s="18">
        <v>8880.5499999999993</v>
      </c>
      <c r="F20" s="18">
        <v>5721.3</v>
      </c>
      <c r="G20" s="41">
        <v>23566.73</v>
      </c>
      <c r="H20" s="39">
        <v>0</v>
      </c>
    </row>
    <row r="21" spans="1:8" x14ac:dyDescent="0.25">
      <c r="A21" s="9"/>
      <c r="B21" s="12" t="s">
        <v>37</v>
      </c>
      <c r="C21" s="18">
        <v>5262.46</v>
      </c>
      <c r="D21" s="18">
        <v>446.3</v>
      </c>
      <c r="E21" s="18">
        <v>6316.21</v>
      </c>
      <c r="F21" s="18">
        <v>3570.96</v>
      </c>
      <c r="G21" s="41">
        <v>15595.93</v>
      </c>
      <c r="H21" s="48">
        <v>3426</v>
      </c>
    </row>
    <row r="22" spans="1:8" x14ac:dyDescent="0.25">
      <c r="A22" s="9"/>
      <c r="B22" s="12" t="s">
        <v>38</v>
      </c>
      <c r="C22" s="18">
        <v>0</v>
      </c>
      <c r="D22" s="18">
        <v>3231.16</v>
      </c>
      <c r="E22" s="18">
        <v>9281.33</v>
      </c>
      <c r="F22" s="18">
        <v>4229.83</v>
      </c>
      <c r="G22" s="41">
        <v>16742.32</v>
      </c>
      <c r="H22" s="39">
        <v>0</v>
      </c>
    </row>
    <row r="23" spans="1:8" ht="15.75" thickBot="1" x14ac:dyDescent="0.3">
      <c r="A23" s="9"/>
      <c r="B23" s="12" t="s">
        <v>39</v>
      </c>
      <c r="C23" s="18">
        <v>7517.7900000000009</v>
      </c>
      <c r="D23" s="18">
        <v>1983.2400000000002</v>
      </c>
      <c r="E23" s="18">
        <v>8962.2099999999991</v>
      </c>
      <c r="F23" s="18">
        <v>3518.64</v>
      </c>
      <c r="G23" s="41">
        <v>21981.879999999997</v>
      </c>
      <c r="H23" s="43">
        <v>0</v>
      </c>
    </row>
    <row r="24" spans="1:8" ht="15.75" thickBot="1" x14ac:dyDescent="0.3">
      <c r="A24" s="14" t="s">
        <v>14</v>
      </c>
      <c r="B24" s="20"/>
      <c r="C24" s="21">
        <v>74394.649999999994</v>
      </c>
      <c r="D24" s="21">
        <v>13894.5</v>
      </c>
      <c r="E24" s="21">
        <v>122802.24000000002</v>
      </c>
      <c r="F24" s="21">
        <v>51644.060000000005</v>
      </c>
      <c r="G24" s="21">
        <v>262735.45</v>
      </c>
      <c r="H24" s="49">
        <f>H10+H18+H21</f>
        <v>26873</v>
      </c>
    </row>
    <row r="25" spans="1:8" x14ac:dyDescent="0.25">
      <c r="A25" s="9"/>
      <c r="B25" s="22"/>
      <c r="C25" s="23"/>
      <c r="D25" s="23"/>
      <c r="E25" s="23"/>
      <c r="F25" s="23"/>
      <c r="G25" s="41"/>
      <c r="H25" s="40"/>
    </row>
    <row r="26" spans="1:8" x14ac:dyDescent="0.25">
      <c r="A26" s="9" t="s">
        <v>15</v>
      </c>
      <c r="B26" s="12" t="s">
        <v>40</v>
      </c>
      <c r="C26" s="12">
        <v>7517.7900000000009</v>
      </c>
      <c r="D26" s="38">
        <v>0</v>
      </c>
      <c r="E26" s="12">
        <v>6868.87</v>
      </c>
      <c r="F26" s="12">
        <v>3129.8900000000003</v>
      </c>
      <c r="G26" s="41">
        <v>17516.55</v>
      </c>
      <c r="H26" s="39">
        <v>0</v>
      </c>
    </row>
    <row r="27" spans="1:8" x14ac:dyDescent="0.25">
      <c r="A27" s="9"/>
      <c r="B27" s="12" t="s">
        <v>41</v>
      </c>
      <c r="C27" s="12">
        <v>5262.46</v>
      </c>
      <c r="D27" s="12">
        <v>528.52</v>
      </c>
      <c r="E27" s="12">
        <v>8728.9600000000009</v>
      </c>
      <c r="F27" s="12">
        <v>4482.51</v>
      </c>
      <c r="G27" s="41">
        <v>19002.45</v>
      </c>
      <c r="H27" s="39">
        <v>0</v>
      </c>
    </row>
    <row r="28" spans="1:8" x14ac:dyDescent="0.25">
      <c r="A28" s="9"/>
      <c r="B28" s="12" t="s">
        <v>42</v>
      </c>
      <c r="C28" s="12">
        <v>2259.4700000000003</v>
      </c>
      <c r="D28" s="12">
        <v>1669.4199999999998</v>
      </c>
      <c r="E28" s="12">
        <v>13692.28</v>
      </c>
      <c r="F28" s="12">
        <v>6198.08</v>
      </c>
      <c r="G28" s="41">
        <v>23819.25</v>
      </c>
      <c r="H28" s="39">
        <v>0</v>
      </c>
    </row>
    <row r="29" spans="1:8" x14ac:dyDescent="0.25">
      <c r="A29" s="9"/>
      <c r="B29" s="12" t="s">
        <v>43</v>
      </c>
      <c r="C29" s="12">
        <v>7517.7900000000009</v>
      </c>
      <c r="D29" s="12">
        <v>0</v>
      </c>
      <c r="E29" s="12">
        <v>8200.23</v>
      </c>
      <c r="F29" s="12">
        <v>4879.25</v>
      </c>
      <c r="G29" s="41">
        <v>20597.27</v>
      </c>
      <c r="H29" s="39">
        <v>0</v>
      </c>
    </row>
    <row r="30" spans="1:8" x14ac:dyDescent="0.25">
      <c r="A30" s="9"/>
      <c r="B30" s="12" t="s">
        <v>44</v>
      </c>
      <c r="C30" s="12">
        <v>3975.05</v>
      </c>
      <c r="D30" s="12">
        <v>896.99999999999989</v>
      </c>
      <c r="E30" s="12">
        <v>7273.39</v>
      </c>
      <c r="F30" s="12">
        <v>4047.4</v>
      </c>
      <c r="G30" s="41">
        <v>16192.84</v>
      </c>
      <c r="H30" s="48">
        <v>2324</v>
      </c>
    </row>
    <row r="31" spans="1:8" x14ac:dyDescent="0.25">
      <c r="A31" s="9"/>
      <c r="B31" s="12" t="s">
        <v>45</v>
      </c>
      <c r="C31" s="12">
        <v>7517.7900000000009</v>
      </c>
      <c r="D31" s="12">
        <v>2965.4300000000003</v>
      </c>
      <c r="E31" s="12">
        <v>6234.07</v>
      </c>
      <c r="F31" s="12">
        <v>5235.21</v>
      </c>
      <c r="G31" s="41">
        <v>21952.5</v>
      </c>
      <c r="H31" s="48">
        <v>11204</v>
      </c>
    </row>
    <row r="32" spans="1:8" x14ac:dyDescent="0.25">
      <c r="A32" s="9"/>
      <c r="B32" s="12" t="s">
        <v>46</v>
      </c>
      <c r="C32" s="12">
        <v>7517.7900000000009</v>
      </c>
      <c r="D32" s="12">
        <v>487.43999999999994</v>
      </c>
      <c r="E32" s="12">
        <v>8887.2900000000009</v>
      </c>
      <c r="F32" s="12">
        <v>6365.74</v>
      </c>
      <c r="G32" s="41">
        <v>23258.260000000002</v>
      </c>
      <c r="H32" s="39">
        <v>0</v>
      </c>
    </row>
    <row r="33" spans="1:8" x14ac:dyDescent="0.25">
      <c r="A33" s="9"/>
      <c r="B33" s="12" t="s">
        <v>47</v>
      </c>
      <c r="C33" s="12">
        <v>0</v>
      </c>
      <c r="D33" s="12">
        <v>762.79</v>
      </c>
      <c r="E33" s="12">
        <v>5011.74</v>
      </c>
      <c r="F33" s="12">
        <v>7404.48</v>
      </c>
      <c r="G33" s="41">
        <v>13179.009999999998</v>
      </c>
      <c r="H33" s="48">
        <v>4150</v>
      </c>
    </row>
    <row r="34" spans="1:8" x14ac:dyDescent="0.25">
      <c r="A34" s="9"/>
      <c r="B34" s="12" t="s">
        <v>48</v>
      </c>
      <c r="C34" s="12">
        <v>251.39</v>
      </c>
      <c r="D34" s="12">
        <v>0</v>
      </c>
      <c r="E34" s="12">
        <v>1169.3900000000001</v>
      </c>
      <c r="F34" s="12">
        <v>507.28</v>
      </c>
      <c r="G34" s="41">
        <v>1928.0600000000002</v>
      </c>
      <c r="H34" s="39">
        <v>0</v>
      </c>
    </row>
    <row r="35" spans="1:8" x14ac:dyDescent="0.25">
      <c r="A35" s="9"/>
      <c r="B35" s="12" t="s">
        <v>49</v>
      </c>
      <c r="C35" s="12">
        <v>4295.6399999999994</v>
      </c>
      <c r="D35" s="12">
        <v>625.43000000000006</v>
      </c>
      <c r="E35" s="12">
        <v>8994.6899999999987</v>
      </c>
      <c r="F35" s="12">
        <v>8339.84</v>
      </c>
      <c r="G35" s="41">
        <v>22255.599999999999</v>
      </c>
      <c r="H35" s="39">
        <v>0</v>
      </c>
    </row>
    <row r="36" spans="1:8" x14ac:dyDescent="0.25">
      <c r="A36" s="9"/>
      <c r="B36" s="12" t="s">
        <v>50</v>
      </c>
      <c r="C36" s="12">
        <v>0</v>
      </c>
      <c r="D36" s="12">
        <v>0</v>
      </c>
      <c r="E36" s="12">
        <v>502.61</v>
      </c>
      <c r="F36" s="12">
        <v>4830.25</v>
      </c>
      <c r="G36" s="41">
        <v>5332.86</v>
      </c>
      <c r="H36" s="39">
        <v>0</v>
      </c>
    </row>
    <row r="37" spans="1:8" x14ac:dyDescent="0.25">
      <c r="A37" s="9"/>
      <c r="B37" s="12" t="s">
        <v>51</v>
      </c>
      <c r="C37" s="12">
        <v>0</v>
      </c>
      <c r="D37" s="12">
        <v>1698.29</v>
      </c>
      <c r="E37" s="12">
        <v>4789.0600000000004</v>
      </c>
      <c r="F37" s="12">
        <v>2878.49</v>
      </c>
      <c r="G37" s="41">
        <v>9365.84</v>
      </c>
      <c r="H37" s="48">
        <v>11894</v>
      </c>
    </row>
    <row r="38" spans="1:8" x14ac:dyDescent="0.25">
      <c r="A38" s="9"/>
      <c r="B38" s="12" t="s">
        <v>52</v>
      </c>
      <c r="C38" s="12">
        <v>5262.46</v>
      </c>
      <c r="D38" s="12">
        <v>792.66</v>
      </c>
      <c r="E38" s="12">
        <v>2809.42</v>
      </c>
      <c r="F38" s="12">
        <v>2372.65</v>
      </c>
      <c r="G38" s="41">
        <v>11237.19</v>
      </c>
      <c r="H38" s="39">
        <v>0</v>
      </c>
    </row>
    <row r="39" spans="1:8" x14ac:dyDescent="0.25">
      <c r="A39" s="9"/>
      <c r="B39" s="12" t="s">
        <v>53</v>
      </c>
      <c r="C39" s="12">
        <v>0</v>
      </c>
      <c r="D39" s="12">
        <v>3587.2</v>
      </c>
      <c r="E39" s="12">
        <v>28653.17</v>
      </c>
      <c r="F39" s="12">
        <v>25816.050000000003</v>
      </c>
      <c r="G39" s="41">
        <v>58056.42</v>
      </c>
      <c r="H39" s="39">
        <v>0</v>
      </c>
    </row>
    <row r="40" spans="1:8" x14ac:dyDescent="0.25">
      <c r="A40" s="9"/>
      <c r="B40" s="12" t="s">
        <v>54</v>
      </c>
      <c r="C40" s="12">
        <v>7517.7900000000009</v>
      </c>
      <c r="D40" s="12">
        <v>2892.58</v>
      </c>
      <c r="E40" s="12">
        <v>9373.66</v>
      </c>
      <c r="F40" s="12">
        <v>5082.76</v>
      </c>
      <c r="G40" s="41">
        <v>24866.79</v>
      </c>
      <c r="H40" s="39">
        <v>0</v>
      </c>
    </row>
    <row r="41" spans="1:8" x14ac:dyDescent="0.25">
      <c r="A41" s="9"/>
      <c r="B41" s="12" t="s">
        <v>55</v>
      </c>
      <c r="C41" s="12">
        <v>0</v>
      </c>
      <c r="D41" s="12">
        <v>147.82000000000002</v>
      </c>
      <c r="E41" s="12">
        <v>6580.12</v>
      </c>
      <c r="F41" s="12">
        <v>5520.01</v>
      </c>
      <c r="G41" s="41">
        <v>12247.95</v>
      </c>
      <c r="H41" s="39">
        <v>0</v>
      </c>
    </row>
    <row r="42" spans="1:8" x14ac:dyDescent="0.25">
      <c r="A42" s="9"/>
      <c r="B42" s="12" t="s">
        <v>56</v>
      </c>
      <c r="C42" s="12">
        <v>7517.7900000000009</v>
      </c>
      <c r="D42" s="12">
        <v>723.06</v>
      </c>
      <c r="E42" s="12">
        <v>4952.5300000000007</v>
      </c>
      <c r="F42" s="12">
        <v>3473.1200000000003</v>
      </c>
      <c r="G42" s="41">
        <v>16666.5</v>
      </c>
      <c r="H42" s="39">
        <v>0</v>
      </c>
    </row>
    <row r="43" spans="1:8" x14ac:dyDescent="0.25">
      <c r="A43" s="9"/>
      <c r="B43" s="12" t="s">
        <v>57</v>
      </c>
      <c r="C43" s="12">
        <v>7517.7900000000009</v>
      </c>
      <c r="D43" s="12">
        <v>377.79</v>
      </c>
      <c r="E43" s="12">
        <v>7717.59</v>
      </c>
      <c r="F43" s="12">
        <v>5364.79</v>
      </c>
      <c r="G43" s="41">
        <v>20977.960000000003</v>
      </c>
      <c r="H43" s="48">
        <v>8083</v>
      </c>
    </row>
    <row r="44" spans="1:8" x14ac:dyDescent="0.25">
      <c r="A44" s="9"/>
      <c r="B44" s="12" t="s">
        <v>58</v>
      </c>
      <c r="C44" s="12">
        <v>5262.46</v>
      </c>
      <c r="D44" s="12">
        <v>670.87</v>
      </c>
      <c r="E44" s="12">
        <v>14557.880000000001</v>
      </c>
      <c r="F44" s="12">
        <v>8780.36</v>
      </c>
      <c r="G44" s="41">
        <v>29271.57</v>
      </c>
      <c r="H44" s="39">
        <v>0</v>
      </c>
    </row>
    <row r="45" spans="1:8" x14ac:dyDescent="0.25">
      <c r="A45" s="9"/>
      <c r="B45" s="12" t="s">
        <v>59</v>
      </c>
      <c r="C45" s="12">
        <v>5262.46</v>
      </c>
      <c r="D45" s="12">
        <v>337.27</v>
      </c>
      <c r="E45" s="12">
        <v>11530.26</v>
      </c>
      <c r="F45" s="12">
        <v>6424.1399999999994</v>
      </c>
      <c r="G45" s="41">
        <v>23554.129999999997</v>
      </c>
      <c r="H45" s="39">
        <v>0</v>
      </c>
    </row>
    <row r="46" spans="1:8" x14ac:dyDescent="0.25">
      <c r="A46" s="9"/>
      <c r="B46" s="12" t="s">
        <v>60</v>
      </c>
      <c r="C46" s="12">
        <v>0</v>
      </c>
      <c r="D46" s="12">
        <v>1618</v>
      </c>
      <c r="E46" s="12">
        <v>6341.77</v>
      </c>
      <c r="F46" s="12">
        <v>1864.9699999999998</v>
      </c>
      <c r="G46" s="41">
        <v>9824.74</v>
      </c>
      <c r="H46" s="39">
        <v>0</v>
      </c>
    </row>
    <row r="47" spans="1:8" x14ac:dyDescent="0.25">
      <c r="A47" s="9"/>
      <c r="B47" s="12" t="s">
        <v>61</v>
      </c>
      <c r="C47" s="12">
        <v>7517.7900000000009</v>
      </c>
      <c r="D47" s="12">
        <v>2125.8200000000002</v>
      </c>
      <c r="E47" s="12">
        <v>7791.87</v>
      </c>
      <c r="F47" s="12">
        <v>6261.96</v>
      </c>
      <c r="G47" s="41">
        <v>23697.439999999999</v>
      </c>
      <c r="H47" s="39">
        <v>0</v>
      </c>
    </row>
    <row r="48" spans="1:8" x14ac:dyDescent="0.25">
      <c r="A48" s="9"/>
      <c r="B48" s="12" t="s">
        <v>62</v>
      </c>
      <c r="C48" s="12">
        <v>5262.46</v>
      </c>
      <c r="D48" s="12">
        <v>330.43</v>
      </c>
      <c r="E48" s="12">
        <v>7580.7000000000007</v>
      </c>
      <c r="F48" s="12">
        <v>4740.82</v>
      </c>
      <c r="G48" s="41">
        <v>17914.41</v>
      </c>
      <c r="H48" s="39">
        <v>0</v>
      </c>
    </row>
    <row r="49" spans="1:9" x14ac:dyDescent="0.25">
      <c r="A49" s="9"/>
      <c r="B49" s="12" t="s">
        <v>63</v>
      </c>
      <c r="C49" s="12">
        <v>2973.88</v>
      </c>
      <c r="D49" s="12">
        <v>0</v>
      </c>
      <c r="E49" s="12">
        <v>4666.71</v>
      </c>
      <c r="F49" s="12">
        <v>3493.36</v>
      </c>
      <c r="G49" s="41">
        <v>11133.95</v>
      </c>
      <c r="H49" s="39">
        <v>0</v>
      </c>
    </row>
    <row r="50" spans="1:9" x14ac:dyDescent="0.25">
      <c r="A50" s="9"/>
      <c r="B50" s="12" t="s">
        <v>64</v>
      </c>
      <c r="C50" s="12">
        <v>1652.16</v>
      </c>
      <c r="D50" s="12">
        <v>2223.7199999999998</v>
      </c>
      <c r="E50" s="12">
        <v>3978.52</v>
      </c>
      <c r="F50" s="12">
        <v>5116.91</v>
      </c>
      <c r="G50" s="41">
        <v>12971.31</v>
      </c>
      <c r="H50" s="48">
        <v>10978</v>
      </c>
    </row>
    <row r="51" spans="1:9" x14ac:dyDescent="0.25">
      <c r="A51" s="9"/>
      <c r="B51" s="12" t="s">
        <v>65</v>
      </c>
      <c r="C51" s="12">
        <v>1817.37</v>
      </c>
      <c r="D51" s="12">
        <v>-304.04000000000002</v>
      </c>
      <c r="E51" s="12">
        <v>5993.22</v>
      </c>
      <c r="F51" s="12">
        <v>5721.45</v>
      </c>
      <c r="G51" s="41">
        <v>13228</v>
      </c>
      <c r="H51" s="39">
        <v>0</v>
      </c>
    </row>
    <row r="52" spans="1:9" x14ac:dyDescent="0.25">
      <c r="A52" s="9"/>
      <c r="B52" s="12" t="s">
        <v>66</v>
      </c>
      <c r="C52" s="12">
        <v>4510.66</v>
      </c>
      <c r="D52" s="12">
        <v>850.81000000000006</v>
      </c>
      <c r="E52" s="12">
        <v>9800.5400000000009</v>
      </c>
      <c r="F52" s="12">
        <v>6571.71</v>
      </c>
      <c r="G52" s="41">
        <v>21733.72</v>
      </c>
      <c r="H52" s="39">
        <v>0</v>
      </c>
    </row>
    <row r="53" spans="1:9" x14ac:dyDescent="0.25">
      <c r="A53" s="9"/>
      <c r="B53" s="12" t="s">
        <v>67</v>
      </c>
      <c r="C53" s="12">
        <v>2973.9</v>
      </c>
      <c r="D53" s="12">
        <v>255.44</v>
      </c>
      <c r="E53" s="12">
        <v>7840.0199999999995</v>
      </c>
      <c r="F53" s="12">
        <v>8759.68</v>
      </c>
      <c r="G53" s="41">
        <v>19829.04</v>
      </c>
      <c r="H53" s="39">
        <v>0</v>
      </c>
    </row>
    <row r="54" spans="1:9" x14ac:dyDescent="0.25">
      <c r="A54" s="9"/>
      <c r="B54" s="12" t="s">
        <v>68</v>
      </c>
      <c r="C54" s="12">
        <v>7517.7900000000009</v>
      </c>
      <c r="D54" s="12">
        <v>799.47</v>
      </c>
      <c r="E54" s="12">
        <v>5252.74</v>
      </c>
      <c r="F54" s="12">
        <v>6162.58</v>
      </c>
      <c r="G54" s="41">
        <v>19732.580000000002</v>
      </c>
      <c r="H54" s="39">
        <v>0</v>
      </c>
    </row>
    <row r="55" spans="1:9" x14ac:dyDescent="0.25">
      <c r="A55" s="9"/>
      <c r="B55" s="12" t="s">
        <v>69</v>
      </c>
      <c r="C55" s="12">
        <v>5173.46</v>
      </c>
      <c r="D55" s="12">
        <v>1542.61</v>
      </c>
      <c r="E55" s="12">
        <v>6261.13</v>
      </c>
      <c r="F55" s="12">
        <v>5327.4500000000007</v>
      </c>
      <c r="G55" s="41">
        <v>18304.650000000001</v>
      </c>
      <c r="H55" s="39">
        <v>0</v>
      </c>
    </row>
    <row r="56" spans="1:9" x14ac:dyDescent="0.25">
      <c r="A56" s="9"/>
      <c r="B56" s="12" t="s">
        <v>70</v>
      </c>
      <c r="C56" s="12">
        <v>7517.7900000000009</v>
      </c>
      <c r="D56" s="12">
        <v>699.66</v>
      </c>
      <c r="E56" s="12">
        <v>9503.91</v>
      </c>
      <c r="F56" s="12">
        <v>3801.7799999999997</v>
      </c>
      <c r="G56" s="41">
        <v>21523.14</v>
      </c>
      <c r="H56" s="48">
        <v>10239</v>
      </c>
    </row>
    <row r="57" spans="1:9" x14ac:dyDescent="0.25">
      <c r="A57" s="9"/>
      <c r="B57" s="12" t="s">
        <v>71</v>
      </c>
      <c r="C57" s="12">
        <v>330</v>
      </c>
      <c r="D57" s="12">
        <v>0</v>
      </c>
      <c r="E57" s="12">
        <v>1000</v>
      </c>
      <c r="F57" s="12">
        <v>99</v>
      </c>
      <c r="G57" s="41">
        <v>1429</v>
      </c>
      <c r="H57" s="39">
        <v>0</v>
      </c>
    </row>
    <row r="58" spans="1:9" ht="15.75" thickBot="1" x14ac:dyDescent="0.3">
      <c r="A58" s="9"/>
      <c r="B58" s="12" t="s">
        <v>72</v>
      </c>
      <c r="C58" s="12">
        <v>7517.7900000000009</v>
      </c>
      <c r="D58" s="12">
        <v>732.18000000000006</v>
      </c>
      <c r="E58" s="12">
        <v>8383.9500000000007</v>
      </c>
      <c r="F58" s="12">
        <v>6193.9999999999991</v>
      </c>
      <c r="G58" s="41">
        <v>22827.920000000002</v>
      </c>
      <c r="H58" s="39">
        <v>0</v>
      </c>
    </row>
    <row r="59" spans="1:9" ht="15.75" thickBot="1" x14ac:dyDescent="0.3">
      <c r="A59" s="14" t="s">
        <v>16</v>
      </c>
      <c r="B59" s="24"/>
      <c r="C59" s="21">
        <v>139220.97000000003</v>
      </c>
      <c r="D59" s="21">
        <v>30037.670000000006</v>
      </c>
      <c r="E59" s="21">
        <v>250922.29</v>
      </c>
      <c r="F59" s="21">
        <v>185247.96999999997</v>
      </c>
      <c r="G59" s="42">
        <v>605428.9</v>
      </c>
      <c r="H59" s="50">
        <f>H30+H31+H33+H37+H43+H50+H56</f>
        <v>58872</v>
      </c>
    </row>
    <row r="60" spans="1:9" ht="13.9" customHeight="1" x14ac:dyDescent="0.25">
      <c r="A60" s="9"/>
      <c r="B60" s="25"/>
      <c r="C60" s="18"/>
      <c r="D60" s="18"/>
      <c r="E60" s="18"/>
      <c r="F60" s="18"/>
      <c r="G60" s="19"/>
      <c r="H60" s="45"/>
    </row>
    <row r="61" spans="1:9" x14ac:dyDescent="0.25">
      <c r="A61" s="9" t="s">
        <v>17</v>
      </c>
      <c r="B61" s="12" t="s">
        <v>73</v>
      </c>
      <c r="C61" s="18">
        <v>0</v>
      </c>
      <c r="D61" s="18">
        <v>0</v>
      </c>
      <c r="E61" s="18">
        <v>1666</v>
      </c>
      <c r="F61" s="18">
        <v>0</v>
      </c>
      <c r="G61" s="19">
        <v>1666</v>
      </c>
      <c r="H61" s="46">
        <v>0</v>
      </c>
      <c r="I61" s="1"/>
    </row>
    <row r="62" spans="1:9" ht="15.75" thickBot="1" x14ac:dyDescent="0.3">
      <c r="A62" s="9"/>
      <c r="B62" s="12" t="s">
        <v>74</v>
      </c>
      <c r="C62" s="18">
        <v>4177.16</v>
      </c>
      <c r="D62" s="18">
        <v>3775.34</v>
      </c>
      <c r="E62" s="18">
        <v>9820.59</v>
      </c>
      <c r="F62" s="18">
        <v>8572.24</v>
      </c>
      <c r="G62" s="19">
        <v>26345.33</v>
      </c>
      <c r="H62" s="46">
        <v>0</v>
      </c>
    </row>
    <row r="63" spans="1:9" s="1" customFormat="1" ht="15.75" thickBot="1" x14ac:dyDescent="0.3">
      <c r="A63" s="14" t="s">
        <v>18</v>
      </c>
      <c r="B63" s="26"/>
      <c r="C63" s="21">
        <v>4177.16</v>
      </c>
      <c r="D63" s="21">
        <v>3775.34</v>
      </c>
      <c r="E63" s="21">
        <v>11486.59</v>
      </c>
      <c r="F63" s="21">
        <v>8572.24</v>
      </c>
      <c r="G63" s="21">
        <v>28011.33</v>
      </c>
      <c r="H63" s="37">
        <v>0</v>
      </c>
      <c r="I63"/>
    </row>
    <row r="64" spans="1:9" s="1" customFormat="1" x14ac:dyDescent="0.25">
      <c r="A64" s="9"/>
      <c r="B64" s="27"/>
      <c r="C64" s="18"/>
      <c r="D64" s="18"/>
      <c r="E64" s="18"/>
      <c r="F64" s="18"/>
      <c r="G64" s="19"/>
      <c r="H64" s="40"/>
      <c r="I64"/>
    </row>
    <row r="65" spans="1:9" s="1" customFormat="1" x14ac:dyDescent="0.25">
      <c r="A65" s="9" t="s">
        <v>19</v>
      </c>
      <c r="B65" s="12" t="s">
        <v>75</v>
      </c>
      <c r="C65" s="18">
        <v>0</v>
      </c>
      <c r="D65" s="18">
        <v>0</v>
      </c>
      <c r="E65" s="18">
        <v>749.57</v>
      </c>
      <c r="F65" s="18">
        <v>0</v>
      </c>
      <c r="G65" s="19">
        <v>749.57</v>
      </c>
      <c r="H65" s="39">
        <v>0</v>
      </c>
      <c r="I65"/>
    </row>
    <row r="66" spans="1:9" s="1" customFormat="1" x14ac:dyDescent="0.25">
      <c r="A66" s="9"/>
      <c r="B66" s="12" t="s">
        <v>76</v>
      </c>
      <c r="C66" s="18">
        <v>7517.7900000000009</v>
      </c>
      <c r="D66" s="18">
        <v>0</v>
      </c>
      <c r="E66" s="18">
        <v>5437.29</v>
      </c>
      <c r="F66" s="18">
        <v>7197.51</v>
      </c>
      <c r="G66" s="19">
        <v>20152.590000000004</v>
      </c>
      <c r="H66" s="39">
        <v>0</v>
      </c>
      <c r="I66"/>
    </row>
    <row r="67" spans="1:9" s="1" customFormat="1" x14ac:dyDescent="0.25">
      <c r="A67" s="9"/>
      <c r="B67" s="12" t="s">
        <v>77</v>
      </c>
      <c r="C67" s="18">
        <v>7517.7900000000009</v>
      </c>
      <c r="D67" s="18">
        <v>1570.98</v>
      </c>
      <c r="E67" s="18">
        <v>9467.7199999999993</v>
      </c>
      <c r="F67" s="18">
        <v>11879.69</v>
      </c>
      <c r="G67" s="19">
        <v>30436.18</v>
      </c>
      <c r="H67" s="39">
        <v>0</v>
      </c>
      <c r="I67"/>
    </row>
    <row r="68" spans="1:9" s="1" customFormat="1" x14ac:dyDescent="0.25">
      <c r="A68" s="9"/>
      <c r="B68" s="12" t="s">
        <v>78</v>
      </c>
      <c r="C68" s="18">
        <v>0</v>
      </c>
      <c r="D68" s="18">
        <v>0</v>
      </c>
      <c r="E68" s="18">
        <v>925.52</v>
      </c>
      <c r="F68" s="18">
        <v>0</v>
      </c>
      <c r="G68" s="19">
        <v>925.52</v>
      </c>
      <c r="H68" s="39">
        <v>0</v>
      </c>
      <c r="I68"/>
    </row>
    <row r="69" spans="1:9" s="1" customFormat="1" x14ac:dyDescent="0.25">
      <c r="A69" s="9"/>
      <c r="B69" s="12" t="s">
        <v>79</v>
      </c>
      <c r="C69" s="18">
        <v>7517.7900000000009</v>
      </c>
      <c r="D69" s="18">
        <v>104.35</v>
      </c>
      <c r="E69" s="18">
        <v>6566.25</v>
      </c>
      <c r="F69" s="18">
        <v>7200.32</v>
      </c>
      <c r="G69" s="19">
        <v>21388.71</v>
      </c>
      <c r="H69" s="39">
        <v>0</v>
      </c>
      <c r="I69"/>
    </row>
    <row r="70" spans="1:9" s="1" customFormat="1" x14ac:dyDescent="0.25">
      <c r="A70" s="9"/>
      <c r="B70" s="12" t="s">
        <v>80</v>
      </c>
      <c r="C70" s="18">
        <v>3304.32</v>
      </c>
      <c r="D70" s="18">
        <v>302.20999999999998</v>
      </c>
      <c r="E70" s="18">
        <v>5651.99</v>
      </c>
      <c r="F70" s="18">
        <v>3590.3199999999997</v>
      </c>
      <c r="G70" s="19">
        <v>12848.84</v>
      </c>
      <c r="H70" s="39">
        <v>0</v>
      </c>
      <c r="I70"/>
    </row>
    <row r="71" spans="1:9" s="1" customFormat="1" x14ac:dyDescent="0.25">
      <c r="A71" s="9"/>
      <c r="B71" s="12" t="s">
        <v>81</v>
      </c>
      <c r="C71" s="18">
        <v>0</v>
      </c>
      <c r="D71" s="18">
        <v>0</v>
      </c>
      <c r="E71" s="18">
        <v>417.04</v>
      </c>
      <c r="F71" s="18">
        <v>0</v>
      </c>
      <c r="G71" s="19">
        <v>417.04</v>
      </c>
      <c r="H71" s="39">
        <v>0</v>
      </c>
      <c r="I71"/>
    </row>
    <row r="72" spans="1:9" s="1" customFormat="1" x14ac:dyDescent="0.25">
      <c r="A72" s="9"/>
      <c r="B72" s="12" t="s">
        <v>82</v>
      </c>
      <c r="C72" s="18">
        <v>0</v>
      </c>
      <c r="D72" s="18">
        <v>279.39</v>
      </c>
      <c r="E72" s="18">
        <v>1478.7</v>
      </c>
      <c r="F72" s="18">
        <v>5870.99</v>
      </c>
      <c r="G72" s="19">
        <v>7629.08</v>
      </c>
      <c r="H72" s="39">
        <v>0</v>
      </c>
      <c r="I72"/>
    </row>
    <row r="73" spans="1:9" s="1" customFormat="1" x14ac:dyDescent="0.25">
      <c r="A73" s="9"/>
      <c r="B73" s="12" t="s">
        <v>83</v>
      </c>
      <c r="C73" s="18">
        <v>11008.2</v>
      </c>
      <c r="D73" s="18">
        <v>0</v>
      </c>
      <c r="E73" s="18">
        <v>4069.6000000000004</v>
      </c>
      <c r="F73" s="18">
        <v>4558.91</v>
      </c>
      <c r="G73" s="19">
        <v>19636.71</v>
      </c>
      <c r="H73" s="48">
        <v>1542</v>
      </c>
      <c r="I73"/>
    </row>
    <row r="74" spans="1:9" s="1" customFormat="1" x14ac:dyDescent="0.25">
      <c r="A74" s="9"/>
      <c r="B74" s="12" t="s">
        <v>84</v>
      </c>
      <c r="C74" s="18">
        <v>0</v>
      </c>
      <c r="D74" s="18">
        <v>0</v>
      </c>
      <c r="E74" s="18">
        <v>0</v>
      </c>
      <c r="F74" s="18">
        <v>0</v>
      </c>
      <c r="G74" s="19">
        <v>0</v>
      </c>
      <c r="H74" s="39">
        <v>0</v>
      </c>
      <c r="I74"/>
    </row>
    <row r="75" spans="1:9" s="1" customFormat="1" x14ac:dyDescent="0.25">
      <c r="A75" s="9"/>
      <c r="B75" s="12" t="s">
        <v>85</v>
      </c>
      <c r="C75" s="18">
        <v>0</v>
      </c>
      <c r="D75" s="18">
        <v>0</v>
      </c>
      <c r="E75" s="18">
        <v>2912.3199999999997</v>
      </c>
      <c r="F75" s="18">
        <v>0</v>
      </c>
      <c r="G75" s="19">
        <v>2912.3199999999997</v>
      </c>
      <c r="H75" s="39">
        <v>0</v>
      </c>
      <c r="I75"/>
    </row>
    <row r="76" spans="1:9" s="1" customFormat="1" x14ac:dyDescent="0.25">
      <c r="A76" s="9"/>
      <c r="B76" s="12" t="s">
        <v>86</v>
      </c>
      <c r="C76" s="18">
        <v>11008.2</v>
      </c>
      <c r="D76" s="18">
        <v>0</v>
      </c>
      <c r="E76" s="18">
        <v>4569.75</v>
      </c>
      <c r="F76" s="18">
        <v>214.79</v>
      </c>
      <c r="G76" s="19">
        <v>15792.740000000002</v>
      </c>
      <c r="H76" s="48">
        <v>11570</v>
      </c>
      <c r="I76"/>
    </row>
    <row r="77" spans="1:9" s="1" customFormat="1" x14ac:dyDescent="0.25">
      <c r="A77" s="9"/>
      <c r="B77" s="12" t="s">
        <v>87</v>
      </c>
      <c r="C77" s="18">
        <v>0</v>
      </c>
      <c r="D77" s="18">
        <v>0</v>
      </c>
      <c r="E77" s="18">
        <v>390</v>
      </c>
      <c r="F77" s="18">
        <v>0</v>
      </c>
      <c r="G77" s="19">
        <v>390</v>
      </c>
      <c r="H77" s="39">
        <v>0</v>
      </c>
      <c r="I77"/>
    </row>
    <row r="78" spans="1:9" s="1" customFormat="1" x14ac:dyDescent="0.25">
      <c r="A78" s="9"/>
      <c r="B78" s="12" t="s">
        <v>88</v>
      </c>
      <c r="C78" s="18">
        <v>0</v>
      </c>
      <c r="D78" s="18">
        <v>0</v>
      </c>
      <c r="E78" s="18">
        <v>1115.17</v>
      </c>
      <c r="F78" s="18">
        <v>0</v>
      </c>
      <c r="G78" s="19">
        <v>1115.17</v>
      </c>
      <c r="H78" s="39">
        <v>0</v>
      </c>
      <c r="I78"/>
    </row>
    <row r="79" spans="1:9" s="1" customFormat="1" x14ac:dyDescent="0.25">
      <c r="A79" s="9"/>
      <c r="B79" s="12" t="s">
        <v>89</v>
      </c>
      <c r="C79" s="18">
        <v>7057.52</v>
      </c>
      <c r="D79" s="18">
        <v>1304.3399999999999</v>
      </c>
      <c r="E79" s="18">
        <v>6953.34</v>
      </c>
      <c r="F79" s="18">
        <v>12414.87</v>
      </c>
      <c r="G79" s="19">
        <v>27730.07</v>
      </c>
      <c r="H79" s="39">
        <v>0</v>
      </c>
      <c r="I79"/>
    </row>
    <row r="80" spans="1:9" s="1" customFormat="1" x14ac:dyDescent="0.25">
      <c r="A80" s="9"/>
      <c r="B80" s="12" t="s">
        <v>90</v>
      </c>
      <c r="C80" s="18">
        <v>2313.04</v>
      </c>
      <c r="D80" s="18">
        <v>0</v>
      </c>
      <c r="E80" s="18">
        <v>7154.17</v>
      </c>
      <c r="F80" s="18">
        <v>4789.67</v>
      </c>
      <c r="G80" s="19">
        <v>14256.88</v>
      </c>
      <c r="H80" s="48">
        <v>11526</v>
      </c>
      <c r="I80"/>
    </row>
    <row r="81" spans="1:9" s="1" customFormat="1" x14ac:dyDescent="0.25">
      <c r="A81" s="9"/>
      <c r="B81" s="12" t="s">
        <v>91</v>
      </c>
      <c r="C81" s="18">
        <v>5262.46</v>
      </c>
      <c r="D81" s="18">
        <v>277.39</v>
      </c>
      <c r="E81" s="18">
        <v>5178.1399999999994</v>
      </c>
      <c r="F81" s="18">
        <v>3206.5699999999997</v>
      </c>
      <c r="G81" s="19">
        <v>13924.56</v>
      </c>
      <c r="H81" s="39">
        <v>0</v>
      </c>
      <c r="I81"/>
    </row>
    <row r="82" spans="1:9" s="1" customFormat="1" x14ac:dyDescent="0.25">
      <c r="A82" s="9"/>
      <c r="B82" s="12" t="s">
        <v>92</v>
      </c>
      <c r="C82" s="18">
        <v>0</v>
      </c>
      <c r="D82" s="18">
        <v>0</v>
      </c>
      <c r="E82" s="18">
        <v>1349.6100000000001</v>
      </c>
      <c r="F82" s="18">
        <v>0</v>
      </c>
      <c r="G82" s="19">
        <v>1349.6100000000001</v>
      </c>
      <c r="H82" s="39">
        <v>0</v>
      </c>
      <c r="I82"/>
    </row>
    <row r="83" spans="1:9" s="1" customFormat="1" x14ac:dyDescent="0.25">
      <c r="A83" s="9"/>
      <c r="B83" s="12" t="s">
        <v>93</v>
      </c>
      <c r="C83" s="18">
        <v>0</v>
      </c>
      <c r="D83" s="18">
        <v>0</v>
      </c>
      <c r="E83" s="18">
        <v>0</v>
      </c>
      <c r="F83" s="18">
        <v>0</v>
      </c>
      <c r="G83" s="19">
        <v>0</v>
      </c>
      <c r="H83" s="39">
        <v>0</v>
      </c>
      <c r="I83"/>
    </row>
    <row r="84" spans="1:9" s="1" customFormat="1" x14ac:dyDescent="0.25">
      <c r="A84" s="9"/>
      <c r="B84" s="12" t="s">
        <v>94</v>
      </c>
      <c r="C84" s="18">
        <v>383.56</v>
      </c>
      <c r="D84" s="18">
        <v>0</v>
      </c>
      <c r="E84" s="18">
        <v>0</v>
      </c>
      <c r="F84" s="18">
        <v>0</v>
      </c>
      <c r="G84" s="19">
        <v>383.56</v>
      </c>
      <c r="H84" s="39">
        <v>0</v>
      </c>
      <c r="I84"/>
    </row>
    <row r="85" spans="1:9" s="1" customFormat="1" x14ac:dyDescent="0.25">
      <c r="A85" s="9"/>
      <c r="B85" s="12" t="s">
        <v>95</v>
      </c>
      <c r="C85" s="18">
        <v>0</v>
      </c>
      <c r="D85" s="18">
        <v>1288.8500000000001</v>
      </c>
      <c r="E85" s="18">
        <v>3329.56</v>
      </c>
      <c r="F85" s="18">
        <v>6845.9699999999993</v>
      </c>
      <c r="G85" s="19">
        <v>11464.38</v>
      </c>
      <c r="H85" s="48">
        <v>11131</v>
      </c>
      <c r="I85"/>
    </row>
    <row r="86" spans="1:9" s="1" customFormat="1" x14ac:dyDescent="0.25">
      <c r="A86" s="9"/>
      <c r="B86" s="12" t="s">
        <v>96</v>
      </c>
      <c r="C86" s="18">
        <v>0</v>
      </c>
      <c r="D86" s="18">
        <v>0</v>
      </c>
      <c r="E86" s="18">
        <v>1520.52</v>
      </c>
      <c r="F86" s="18">
        <v>0</v>
      </c>
      <c r="G86" s="19">
        <v>1520.52</v>
      </c>
      <c r="H86" s="39">
        <v>0</v>
      </c>
      <c r="I86"/>
    </row>
    <row r="87" spans="1:9" s="1" customFormat="1" x14ac:dyDescent="0.25">
      <c r="A87" s="9"/>
      <c r="B87" s="12" t="s">
        <v>97</v>
      </c>
      <c r="C87" s="18">
        <v>383.56</v>
      </c>
      <c r="D87" s="18">
        <v>0</v>
      </c>
      <c r="E87" s="18">
        <v>0</v>
      </c>
      <c r="F87" s="18">
        <v>0</v>
      </c>
      <c r="G87" s="19">
        <v>383.56</v>
      </c>
      <c r="H87" s="39">
        <v>0</v>
      </c>
      <c r="I87"/>
    </row>
    <row r="88" spans="1:9" s="1" customFormat="1" x14ac:dyDescent="0.25">
      <c r="A88" s="9"/>
      <c r="B88" s="12" t="s">
        <v>98</v>
      </c>
      <c r="C88" s="18">
        <v>0</v>
      </c>
      <c r="D88" s="18">
        <v>0</v>
      </c>
      <c r="E88" s="18">
        <v>0</v>
      </c>
      <c r="F88" s="18">
        <v>0</v>
      </c>
      <c r="G88" s="19">
        <v>0</v>
      </c>
      <c r="H88" s="39">
        <v>0</v>
      </c>
      <c r="I88"/>
    </row>
    <row r="89" spans="1:9" s="1" customFormat="1" x14ac:dyDescent="0.25">
      <c r="A89" s="9"/>
      <c r="B89" s="12" t="s">
        <v>99</v>
      </c>
      <c r="C89" s="18">
        <v>7517.7900000000009</v>
      </c>
      <c r="D89" s="18">
        <v>1922.96</v>
      </c>
      <c r="E89" s="18">
        <v>7611.27</v>
      </c>
      <c r="F89" s="18">
        <v>6055.1399999999994</v>
      </c>
      <c r="G89" s="19">
        <v>23107.16</v>
      </c>
      <c r="H89" s="39">
        <v>0</v>
      </c>
      <c r="I89"/>
    </row>
    <row r="90" spans="1:9" s="1" customFormat="1" x14ac:dyDescent="0.25">
      <c r="A90" s="9"/>
      <c r="B90" s="12" t="s">
        <v>100</v>
      </c>
      <c r="C90" s="18">
        <v>0</v>
      </c>
      <c r="D90" s="18">
        <v>108.7</v>
      </c>
      <c r="E90" s="18">
        <v>3402.16</v>
      </c>
      <c r="F90" s="18">
        <v>1773.81</v>
      </c>
      <c r="G90" s="19">
        <v>5284.67</v>
      </c>
      <c r="H90" s="39">
        <v>0</v>
      </c>
      <c r="I90"/>
    </row>
    <row r="91" spans="1:9" s="1" customFormat="1" x14ac:dyDescent="0.25">
      <c r="A91" s="9"/>
      <c r="B91" s="12" t="s">
        <v>101</v>
      </c>
      <c r="C91" s="18">
        <v>0</v>
      </c>
      <c r="D91" s="18">
        <v>0</v>
      </c>
      <c r="E91" s="18">
        <v>0</v>
      </c>
      <c r="F91" s="18">
        <v>0</v>
      </c>
      <c r="G91" s="19">
        <v>0</v>
      </c>
      <c r="H91" s="39">
        <v>0</v>
      </c>
      <c r="I91"/>
    </row>
    <row r="92" spans="1:9" s="1" customFormat="1" x14ac:dyDescent="0.25">
      <c r="A92" s="9"/>
      <c r="B92" s="12" t="s">
        <v>102</v>
      </c>
      <c r="C92" s="18">
        <v>0</v>
      </c>
      <c r="D92" s="18">
        <v>0</v>
      </c>
      <c r="E92" s="18">
        <v>0</v>
      </c>
      <c r="F92" s="18">
        <v>0</v>
      </c>
      <c r="G92" s="19">
        <v>0</v>
      </c>
      <c r="H92" s="39">
        <v>0</v>
      </c>
      <c r="I92"/>
    </row>
    <row r="93" spans="1:9" s="1" customFormat="1" x14ac:dyDescent="0.25">
      <c r="A93" s="9"/>
      <c r="B93" s="12" t="s">
        <v>103</v>
      </c>
      <c r="C93" s="18">
        <v>0</v>
      </c>
      <c r="D93" s="18">
        <v>0</v>
      </c>
      <c r="E93" s="18">
        <v>974.43000000000006</v>
      </c>
      <c r="F93" s="18">
        <v>0</v>
      </c>
      <c r="G93" s="19">
        <v>974.43000000000006</v>
      </c>
      <c r="H93" s="39">
        <v>0</v>
      </c>
      <c r="I93"/>
    </row>
    <row r="94" spans="1:9" s="1" customFormat="1" x14ac:dyDescent="0.25">
      <c r="A94" s="9"/>
      <c r="B94" s="12" t="s">
        <v>104</v>
      </c>
      <c r="C94" s="18">
        <v>7517.7900000000009</v>
      </c>
      <c r="D94" s="18">
        <v>189.70000000000002</v>
      </c>
      <c r="E94" s="18">
        <v>8910.07</v>
      </c>
      <c r="F94" s="18">
        <v>3034.4700000000003</v>
      </c>
      <c r="G94" s="19">
        <v>19652.030000000002</v>
      </c>
      <c r="H94" s="48">
        <v>1761</v>
      </c>
      <c r="I94"/>
    </row>
    <row r="95" spans="1:9" s="1" customFormat="1" x14ac:dyDescent="0.25">
      <c r="A95" s="9"/>
      <c r="B95" s="12" t="s">
        <v>105</v>
      </c>
      <c r="C95" s="18">
        <v>5262.46</v>
      </c>
      <c r="D95" s="18">
        <v>1454.72</v>
      </c>
      <c r="E95" s="18">
        <v>4905.1099999999997</v>
      </c>
      <c r="F95" s="18">
        <v>5792.67</v>
      </c>
      <c r="G95" s="19">
        <v>17414.96</v>
      </c>
      <c r="H95" s="39">
        <v>0</v>
      </c>
      <c r="I95"/>
    </row>
    <row r="96" spans="1:9" s="1" customFormat="1" x14ac:dyDescent="0.25">
      <c r="A96" s="9"/>
      <c r="B96" s="12" t="s">
        <v>106</v>
      </c>
      <c r="C96" s="18">
        <v>7517.7900000000009</v>
      </c>
      <c r="D96" s="18">
        <v>302.88</v>
      </c>
      <c r="E96" s="18">
        <v>6897.01</v>
      </c>
      <c r="F96" s="18">
        <v>6715.07</v>
      </c>
      <c r="G96" s="19">
        <v>21432.75</v>
      </c>
      <c r="H96" s="39">
        <v>0</v>
      </c>
      <c r="I96"/>
    </row>
    <row r="97" spans="1:9" s="1" customFormat="1" x14ac:dyDescent="0.25">
      <c r="A97" s="9"/>
      <c r="B97" s="12" t="s">
        <v>107</v>
      </c>
      <c r="C97" s="18">
        <v>383.56</v>
      </c>
      <c r="D97" s="18">
        <v>0</v>
      </c>
      <c r="E97" s="18">
        <v>1292.17</v>
      </c>
      <c r="F97" s="18">
        <v>0</v>
      </c>
      <c r="G97" s="19">
        <v>1675.73</v>
      </c>
      <c r="H97" s="39">
        <v>0</v>
      </c>
      <c r="I97"/>
    </row>
    <row r="98" spans="1:9" s="1" customFormat="1" x14ac:dyDescent="0.25">
      <c r="A98" s="9"/>
      <c r="B98" s="12" t="s">
        <v>108</v>
      </c>
      <c r="C98" s="18">
        <v>3965.21</v>
      </c>
      <c r="D98" s="18">
        <v>0</v>
      </c>
      <c r="E98" s="18">
        <v>4050.29</v>
      </c>
      <c r="F98" s="18">
        <v>2599.63</v>
      </c>
      <c r="G98" s="19">
        <v>10615.130000000001</v>
      </c>
      <c r="H98" s="39">
        <v>0</v>
      </c>
      <c r="I98"/>
    </row>
    <row r="99" spans="1:9" s="1" customFormat="1" x14ac:dyDescent="0.25">
      <c r="A99" s="9"/>
      <c r="B99" s="12" t="s">
        <v>109</v>
      </c>
      <c r="C99" s="18">
        <v>0</v>
      </c>
      <c r="D99" s="18">
        <v>0</v>
      </c>
      <c r="E99" s="18">
        <v>2409.96</v>
      </c>
      <c r="F99" s="18">
        <v>0</v>
      </c>
      <c r="G99" s="19">
        <v>2409.96</v>
      </c>
      <c r="H99" s="39">
        <v>0</v>
      </c>
      <c r="I99"/>
    </row>
    <row r="100" spans="1:9" s="1" customFormat="1" x14ac:dyDescent="0.25">
      <c r="A100" s="9"/>
      <c r="B100" s="12" t="s">
        <v>110</v>
      </c>
      <c r="C100" s="18">
        <v>0</v>
      </c>
      <c r="D100" s="18">
        <v>0</v>
      </c>
      <c r="E100" s="18">
        <v>0</v>
      </c>
      <c r="F100" s="18">
        <v>0</v>
      </c>
      <c r="G100" s="19">
        <v>0</v>
      </c>
      <c r="H100" s="39">
        <v>0</v>
      </c>
      <c r="I100"/>
    </row>
    <row r="101" spans="1:9" s="1" customFormat="1" x14ac:dyDescent="0.25">
      <c r="A101" s="9"/>
      <c r="B101" s="12" t="s">
        <v>111</v>
      </c>
      <c r="C101" s="18">
        <v>7517.7900000000009</v>
      </c>
      <c r="D101" s="18">
        <v>504.35</v>
      </c>
      <c r="E101" s="18">
        <v>3231.62</v>
      </c>
      <c r="F101" s="18">
        <v>6105.9800000000005</v>
      </c>
      <c r="G101" s="19">
        <v>17359.740000000002</v>
      </c>
      <c r="H101" s="48">
        <v>7350</v>
      </c>
      <c r="I101"/>
    </row>
    <row r="102" spans="1:9" s="1" customFormat="1" x14ac:dyDescent="0.25">
      <c r="A102" s="9"/>
      <c r="B102" s="12" t="s">
        <v>112</v>
      </c>
      <c r="C102" s="18">
        <v>7057.52</v>
      </c>
      <c r="D102" s="18">
        <v>0</v>
      </c>
      <c r="E102" s="18">
        <v>6952.1399999999994</v>
      </c>
      <c r="F102" s="18">
        <v>7468.02</v>
      </c>
      <c r="G102" s="19">
        <v>21477.68</v>
      </c>
      <c r="H102" s="39">
        <v>0</v>
      </c>
      <c r="I102"/>
    </row>
    <row r="103" spans="1:9" s="1" customFormat="1" x14ac:dyDescent="0.25">
      <c r="A103" s="9"/>
      <c r="B103" s="12" t="s">
        <v>113</v>
      </c>
      <c r="C103" s="18">
        <v>5262.46</v>
      </c>
      <c r="D103" s="18">
        <v>981.56</v>
      </c>
      <c r="E103" s="18">
        <v>7023.98</v>
      </c>
      <c r="F103" s="18">
        <v>4849.5599999999995</v>
      </c>
      <c r="G103" s="19">
        <v>18117.559999999998</v>
      </c>
      <c r="H103" s="39">
        <v>0</v>
      </c>
      <c r="I103"/>
    </row>
    <row r="104" spans="1:9" s="1" customFormat="1" x14ac:dyDescent="0.25">
      <c r="A104" s="9"/>
      <c r="B104" s="12" t="s">
        <v>114</v>
      </c>
      <c r="C104" s="18">
        <v>7517.7900000000009</v>
      </c>
      <c r="D104" s="18">
        <v>0</v>
      </c>
      <c r="E104" s="18">
        <v>6368.19</v>
      </c>
      <c r="F104" s="18">
        <v>3126.3</v>
      </c>
      <c r="G104" s="19">
        <v>17012.28</v>
      </c>
      <c r="H104" s="39">
        <v>0</v>
      </c>
      <c r="I104"/>
    </row>
    <row r="105" spans="1:9" s="1" customFormat="1" x14ac:dyDescent="0.25">
      <c r="A105" s="9"/>
      <c r="B105" s="12" t="s">
        <v>115</v>
      </c>
      <c r="C105" s="18">
        <v>7057.52</v>
      </c>
      <c r="D105" s="18">
        <v>0</v>
      </c>
      <c r="E105" s="18">
        <v>7237.66</v>
      </c>
      <c r="F105" s="18">
        <v>5637.78</v>
      </c>
      <c r="G105" s="19">
        <v>19932.96</v>
      </c>
      <c r="H105" s="48">
        <v>12637</v>
      </c>
      <c r="I105"/>
    </row>
    <row r="106" spans="1:9" s="1" customFormat="1" x14ac:dyDescent="0.25">
      <c r="A106" s="9"/>
      <c r="B106" s="12" t="s">
        <v>116</v>
      </c>
      <c r="C106" s="18">
        <v>7517.7900000000009</v>
      </c>
      <c r="D106" s="18">
        <v>116.52</v>
      </c>
      <c r="E106" s="18">
        <v>3945.7400000000002</v>
      </c>
      <c r="F106" s="18">
        <v>3634.8999999999996</v>
      </c>
      <c r="G106" s="19">
        <v>15214.95</v>
      </c>
      <c r="H106" s="39">
        <v>0</v>
      </c>
      <c r="I106"/>
    </row>
    <row r="107" spans="1:9" s="1" customFormat="1" x14ac:dyDescent="0.25">
      <c r="A107" s="9"/>
      <c r="B107" s="12" t="s">
        <v>117</v>
      </c>
      <c r="C107" s="18">
        <v>0</v>
      </c>
      <c r="D107" s="18">
        <v>0</v>
      </c>
      <c r="E107" s="18">
        <v>0</v>
      </c>
      <c r="F107" s="18">
        <v>0</v>
      </c>
      <c r="G107" s="19">
        <v>0</v>
      </c>
      <c r="H107" s="39">
        <v>0</v>
      </c>
      <c r="I107"/>
    </row>
    <row r="108" spans="1:9" s="1" customFormat="1" x14ac:dyDescent="0.25">
      <c r="A108" s="9"/>
      <c r="B108" s="12" t="s">
        <v>118</v>
      </c>
      <c r="C108" s="18">
        <v>7517.7900000000009</v>
      </c>
      <c r="D108" s="18">
        <v>0</v>
      </c>
      <c r="E108" s="18">
        <v>4602.08</v>
      </c>
      <c r="F108" s="18">
        <v>3636.74</v>
      </c>
      <c r="G108" s="19">
        <v>15756.61</v>
      </c>
      <c r="H108" s="39">
        <v>0</v>
      </c>
      <c r="I108"/>
    </row>
    <row r="109" spans="1:9" s="1" customFormat="1" x14ac:dyDescent="0.25">
      <c r="A109" s="9"/>
      <c r="B109" s="12" t="s">
        <v>20</v>
      </c>
      <c r="C109" s="18">
        <v>7517.7900000000009</v>
      </c>
      <c r="D109" s="18">
        <v>711.96</v>
      </c>
      <c r="E109" s="18">
        <v>5557.6399999999994</v>
      </c>
      <c r="F109" s="18">
        <v>4481.09</v>
      </c>
      <c r="G109" s="19">
        <v>18268.48</v>
      </c>
      <c r="H109" s="39">
        <v>0</v>
      </c>
      <c r="I109"/>
    </row>
    <row r="110" spans="1:9" s="1" customFormat="1" x14ac:dyDescent="0.25">
      <c r="A110" s="9"/>
      <c r="B110" s="12" t="s">
        <v>119</v>
      </c>
      <c r="C110" s="18">
        <v>7517.7900000000009</v>
      </c>
      <c r="D110" s="18">
        <v>1447.48</v>
      </c>
      <c r="E110" s="18">
        <v>8145.07</v>
      </c>
      <c r="F110" s="18">
        <v>5384.69</v>
      </c>
      <c r="G110" s="19">
        <v>22495.03</v>
      </c>
      <c r="H110" s="39">
        <v>0</v>
      </c>
      <c r="I110"/>
    </row>
    <row r="111" spans="1:9" s="1" customFormat="1" x14ac:dyDescent="0.25">
      <c r="A111" s="9"/>
      <c r="B111" s="12" t="s">
        <v>120</v>
      </c>
      <c r="C111" s="18">
        <v>5262.46</v>
      </c>
      <c r="D111" s="18">
        <v>0</v>
      </c>
      <c r="E111" s="18">
        <v>5129.13</v>
      </c>
      <c r="F111" s="18">
        <v>4805.83</v>
      </c>
      <c r="G111" s="19">
        <v>15197.42</v>
      </c>
      <c r="H111" s="39">
        <v>0</v>
      </c>
      <c r="I111"/>
    </row>
    <row r="112" spans="1:9" s="1" customFormat="1" x14ac:dyDescent="0.25">
      <c r="A112" s="9"/>
      <c r="B112" s="12" t="s">
        <v>121</v>
      </c>
      <c r="C112" s="18">
        <v>0</v>
      </c>
      <c r="D112" s="18">
        <v>283</v>
      </c>
      <c r="E112" s="18">
        <v>3612.7</v>
      </c>
      <c r="F112" s="18">
        <v>2668.25</v>
      </c>
      <c r="G112" s="19">
        <v>6563.95</v>
      </c>
      <c r="H112" s="39">
        <v>0</v>
      </c>
      <c r="I112"/>
    </row>
    <row r="113" spans="1:9" s="1" customFormat="1" x14ac:dyDescent="0.25">
      <c r="A113" s="9"/>
      <c r="B113" s="12" t="s">
        <v>122</v>
      </c>
      <c r="C113" s="18">
        <v>7630.83</v>
      </c>
      <c r="D113" s="18">
        <v>1315.75</v>
      </c>
      <c r="E113" s="18">
        <v>19904.349999999999</v>
      </c>
      <c r="F113" s="18">
        <v>7413.1</v>
      </c>
      <c r="G113" s="19">
        <v>36264.03</v>
      </c>
      <c r="H113" s="39">
        <v>0</v>
      </c>
      <c r="I113"/>
    </row>
    <row r="114" spans="1:9" s="1" customFormat="1" x14ac:dyDescent="0.25">
      <c r="A114" s="9"/>
      <c r="B114" s="12" t="s">
        <v>123</v>
      </c>
      <c r="C114" s="18">
        <v>0</v>
      </c>
      <c r="D114" s="18">
        <v>0</v>
      </c>
      <c r="E114" s="18">
        <v>1760.8600000000001</v>
      </c>
      <c r="F114" s="18">
        <v>0</v>
      </c>
      <c r="G114" s="19">
        <v>1760.8600000000001</v>
      </c>
      <c r="H114" s="39">
        <v>0</v>
      </c>
      <c r="I114"/>
    </row>
    <row r="115" spans="1:9" s="1" customFormat="1" x14ac:dyDescent="0.25">
      <c r="A115" s="9"/>
      <c r="B115" s="12" t="s">
        <v>124</v>
      </c>
      <c r="C115" s="18">
        <v>5262.46</v>
      </c>
      <c r="D115" s="18">
        <v>1566.68</v>
      </c>
      <c r="E115" s="18">
        <v>6271.68</v>
      </c>
      <c r="F115" s="18">
        <v>5103.17</v>
      </c>
      <c r="G115" s="19">
        <v>18203.989999999998</v>
      </c>
      <c r="H115" s="48">
        <v>11125</v>
      </c>
      <c r="I115"/>
    </row>
    <row r="116" spans="1:9" s="1" customFormat="1" x14ac:dyDescent="0.25">
      <c r="A116" s="9"/>
      <c r="B116" s="12" t="s">
        <v>125</v>
      </c>
      <c r="C116" s="18">
        <v>0</v>
      </c>
      <c r="D116" s="18">
        <v>159.55000000000001</v>
      </c>
      <c r="E116" s="18">
        <v>5106.95</v>
      </c>
      <c r="F116" s="18">
        <v>6034.23</v>
      </c>
      <c r="G116" s="19">
        <v>11300.73</v>
      </c>
      <c r="H116" s="39">
        <v>0</v>
      </c>
      <c r="I116"/>
    </row>
    <row r="117" spans="1:9" s="1" customFormat="1" x14ac:dyDescent="0.25">
      <c r="A117" s="9"/>
      <c r="B117" s="12" t="s">
        <v>126</v>
      </c>
      <c r="C117" s="18">
        <v>0</v>
      </c>
      <c r="D117" s="18">
        <v>0</v>
      </c>
      <c r="E117" s="18">
        <v>436.17</v>
      </c>
      <c r="F117" s="18">
        <v>0</v>
      </c>
      <c r="G117" s="19">
        <v>436.17</v>
      </c>
      <c r="H117" s="39">
        <v>0</v>
      </c>
      <c r="I117"/>
    </row>
    <row r="118" spans="1:9" s="1" customFormat="1" x14ac:dyDescent="0.25">
      <c r="A118" s="9"/>
      <c r="B118" s="12" t="s">
        <v>127</v>
      </c>
      <c r="C118" s="18">
        <v>0</v>
      </c>
      <c r="D118" s="18">
        <v>0</v>
      </c>
      <c r="E118" s="18">
        <v>4480.2299999999996</v>
      </c>
      <c r="F118" s="18">
        <v>0</v>
      </c>
      <c r="G118" s="19">
        <v>4480.2299999999996</v>
      </c>
      <c r="H118" s="39">
        <v>0</v>
      </c>
      <c r="I118"/>
    </row>
    <row r="119" spans="1:9" s="1" customFormat="1" x14ac:dyDescent="0.25">
      <c r="A119" s="9"/>
      <c r="B119" s="12" t="s">
        <v>128</v>
      </c>
      <c r="C119" s="18">
        <v>0</v>
      </c>
      <c r="D119" s="18">
        <v>0</v>
      </c>
      <c r="E119" s="18">
        <v>1086.74</v>
      </c>
      <c r="F119" s="18">
        <v>0</v>
      </c>
      <c r="G119" s="19">
        <v>1086.74</v>
      </c>
      <c r="H119" s="39">
        <v>0</v>
      </c>
      <c r="I119"/>
    </row>
    <row r="120" spans="1:9" s="1" customFormat="1" x14ac:dyDescent="0.25">
      <c r="A120" s="9"/>
      <c r="B120" s="12" t="s">
        <v>129</v>
      </c>
      <c r="C120" s="18">
        <v>5369.85</v>
      </c>
      <c r="D120" s="18">
        <v>0</v>
      </c>
      <c r="E120" s="18">
        <v>15747.169999999998</v>
      </c>
      <c r="F120" s="18">
        <v>3100.88</v>
      </c>
      <c r="G120" s="19">
        <v>24217.899999999998</v>
      </c>
      <c r="H120" s="39">
        <v>0</v>
      </c>
      <c r="I120"/>
    </row>
    <row r="121" spans="1:9" s="1" customFormat="1" x14ac:dyDescent="0.25">
      <c r="A121" s="9"/>
      <c r="B121" s="12" t="s">
        <v>130</v>
      </c>
      <c r="C121" s="18">
        <v>0</v>
      </c>
      <c r="D121" s="18">
        <v>0</v>
      </c>
      <c r="E121" s="18">
        <v>3157.3599999999997</v>
      </c>
      <c r="F121" s="18">
        <v>0</v>
      </c>
      <c r="G121" s="19">
        <v>3157.3599999999997</v>
      </c>
      <c r="H121" s="39">
        <v>0</v>
      </c>
      <c r="I121"/>
    </row>
    <row r="122" spans="1:9" s="1" customFormat="1" x14ac:dyDescent="0.25">
      <c r="A122" s="9"/>
      <c r="B122" s="12" t="s">
        <v>131</v>
      </c>
      <c r="C122" s="18">
        <v>3469.54</v>
      </c>
      <c r="D122" s="18">
        <v>0</v>
      </c>
      <c r="E122" s="18">
        <v>4277.68</v>
      </c>
      <c r="F122" s="18">
        <v>4305.3599999999997</v>
      </c>
      <c r="G122" s="19">
        <v>12052.58</v>
      </c>
      <c r="H122" s="39">
        <v>0</v>
      </c>
      <c r="I122"/>
    </row>
    <row r="123" spans="1:9" s="1" customFormat="1" ht="15.75" thickBot="1" x14ac:dyDescent="0.3">
      <c r="A123" s="9"/>
      <c r="B123" s="12" t="s">
        <v>132</v>
      </c>
      <c r="C123" s="18">
        <v>7517.7900000000009</v>
      </c>
      <c r="D123" s="18">
        <v>280.87</v>
      </c>
      <c r="E123" s="18">
        <v>6691.3499999999995</v>
      </c>
      <c r="F123" s="18">
        <v>4885.43</v>
      </c>
      <c r="G123" s="19">
        <v>19375.440000000002</v>
      </c>
      <c r="H123" s="39">
        <v>0</v>
      </c>
      <c r="I123"/>
    </row>
    <row r="124" spans="1:9" s="1" customFormat="1" ht="15.75" thickBot="1" x14ac:dyDescent="0.3">
      <c r="A124" s="14" t="s">
        <v>21</v>
      </c>
      <c r="B124" s="26"/>
      <c r="C124" s="21">
        <v>194436.00000000003</v>
      </c>
      <c r="D124" s="21">
        <v>16474.189999999995</v>
      </c>
      <c r="E124" s="21">
        <v>240415.22</v>
      </c>
      <c r="F124" s="21">
        <v>176381.71</v>
      </c>
      <c r="G124" s="21">
        <v>627707.11999999988</v>
      </c>
      <c r="H124" s="50">
        <f>H115+H105+H101+H94+H85+H80+H76+H73</f>
        <v>68642</v>
      </c>
      <c r="I124"/>
    </row>
    <row r="125" spans="1:9" s="1" customFormat="1" x14ac:dyDescent="0.25">
      <c r="A125" s="3"/>
      <c r="B125" s="17"/>
      <c r="C125" s="23"/>
      <c r="D125" s="23"/>
      <c r="E125" s="23"/>
      <c r="F125" s="23"/>
      <c r="G125" s="28"/>
      <c r="H125" s="40">
        <v>0</v>
      </c>
      <c r="I125"/>
    </row>
    <row r="126" spans="1:9" s="1" customFormat="1" x14ac:dyDescent="0.25">
      <c r="A126" s="9" t="s">
        <v>22</v>
      </c>
      <c r="B126" s="29" t="s">
        <v>133</v>
      </c>
      <c r="C126" s="18">
        <v>5452.18</v>
      </c>
      <c r="D126" s="18">
        <v>328.87</v>
      </c>
      <c r="E126" s="18">
        <v>6831.92</v>
      </c>
      <c r="F126" s="18">
        <v>4733.5</v>
      </c>
      <c r="G126" s="19">
        <v>17346.47</v>
      </c>
      <c r="H126" s="39">
        <v>0</v>
      </c>
      <c r="I126"/>
    </row>
    <row r="127" spans="1:9" s="1" customFormat="1" x14ac:dyDescent="0.25">
      <c r="A127" s="9"/>
      <c r="B127" s="29" t="s">
        <v>134</v>
      </c>
      <c r="C127" s="18">
        <v>7517.7900000000009</v>
      </c>
      <c r="D127" s="18">
        <v>6.9999999999936335E-2</v>
      </c>
      <c r="E127" s="18">
        <v>5469.34</v>
      </c>
      <c r="F127" s="18">
        <v>6524.4400000000005</v>
      </c>
      <c r="G127" s="19">
        <v>19511.64</v>
      </c>
      <c r="H127" s="39">
        <v>0</v>
      </c>
      <c r="I127"/>
    </row>
    <row r="128" spans="1:9" s="1" customFormat="1" x14ac:dyDescent="0.25">
      <c r="A128" s="9"/>
      <c r="B128" s="29" t="s">
        <v>135</v>
      </c>
      <c r="C128" s="18">
        <v>5173.87</v>
      </c>
      <c r="D128" s="18">
        <v>899.75</v>
      </c>
      <c r="E128" s="18">
        <v>9745.6899999999987</v>
      </c>
      <c r="F128" s="18">
        <v>3198.09</v>
      </c>
      <c r="G128" s="19">
        <v>19017.399999999998</v>
      </c>
      <c r="H128" s="39">
        <v>0</v>
      </c>
      <c r="I128"/>
    </row>
    <row r="129" spans="1:9" s="1" customFormat="1" x14ac:dyDescent="0.25">
      <c r="A129" s="9"/>
      <c r="B129" s="29" t="s">
        <v>136</v>
      </c>
      <c r="C129" s="18">
        <v>7517.79</v>
      </c>
      <c r="D129" s="18">
        <v>1122.6199999999999</v>
      </c>
      <c r="E129" s="18">
        <v>1147.17</v>
      </c>
      <c r="F129" s="18">
        <v>11864.77</v>
      </c>
      <c r="G129" s="19">
        <v>21652.35</v>
      </c>
      <c r="H129" s="39">
        <v>0</v>
      </c>
      <c r="I129"/>
    </row>
    <row r="130" spans="1:9" s="1" customFormat="1" x14ac:dyDescent="0.25">
      <c r="A130" s="9"/>
      <c r="B130" s="29" t="s">
        <v>137</v>
      </c>
      <c r="C130" s="18">
        <v>5707.38</v>
      </c>
      <c r="D130" s="18">
        <v>288.3</v>
      </c>
      <c r="E130" s="18">
        <v>5025.78</v>
      </c>
      <c r="F130" s="18">
        <v>8186.24</v>
      </c>
      <c r="G130" s="19">
        <v>19207.699999999997</v>
      </c>
      <c r="H130" s="39">
        <v>0</v>
      </c>
      <c r="I130"/>
    </row>
    <row r="131" spans="1:9" s="1" customFormat="1" x14ac:dyDescent="0.25">
      <c r="A131" s="9"/>
      <c r="B131" s="29" t="s">
        <v>138</v>
      </c>
      <c r="C131" s="18">
        <v>5262.46</v>
      </c>
      <c r="D131" s="18">
        <v>632.76</v>
      </c>
      <c r="E131" s="18">
        <v>9747.7899999999991</v>
      </c>
      <c r="F131" s="18">
        <v>4265.13</v>
      </c>
      <c r="G131" s="19">
        <v>19908.14</v>
      </c>
      <c r="H131" s="39">
        <v>0</v>
      </c>
      <c r="I131"/>
    </row>
    <row r="132" spans="1:9" s="1" customFormat="1" x14ac:dyDescent="0.25">
      <c r="A132" s="9"/>
      <c r="B132" s="29" t="s">
        <v>139</v>
      </c>
      <c r="C132" s="18">
        <v>7517.7900000000009</v>
      </c>
      <c r="D132" s="18">
        <v>295.65000000000003</v>
      </c>
      <c r="E132" s="18">
        <v>1255.8000000000002</v>
      </c>
      <c r="F132" s="18">
        <v>3068.6000000000004</v>
      </c>
      <c r="G132" s="19">
        <v>12137.840000000002</v>
      </c>
      <c r="H132" s="39">
        <v>0</v>
      </c>
      <c r="I132"/>
    </row>
    <row r="133" spans="1:9" s="1" customFormat="1" x14ac:dyDescent="0.25">
      <c r="A133" s="9"/>
      <c r="B133" s="29" t="s">
        <v>140</v>
      </c>
      <c r="C133" s="18">
        <v>7517.7900000000009</v>
      </c>
      <c r="D133" s="18">
        <v>303.06</v>
      </c>
      <c r="E133" s="18">
        <v>8170.62</v>
      </c>
      <c r="F133" s="18">
        <v>3649.49</v>
      </c>
      <c r="G133" s="19">
        <v>19640.96</v>
      </c>
      <c r="H133" s="48">
        <v>7743</v>
      </c>
      <c r="I133"/>
    </row>
    <row r="134" spans="1:9" s="1" customFormat="1" x14ac:dyDescent="0.25">
      <c r="A134" s="9"/>
      <c r="B134" s="29" t="s">
        <v>141</v>
      </c>
      <c r="C134" s="18">
        <v>7517.7900000000009</v>
      </c>
      <c r="D134" s="18">
        <v>469.57</v>
      </c>
      <c r="E134" s="18">
        <v>19714.23</v>
      </c>
      <c r="F134" s="18">
        <v>5566.0099999999993</v>
      </c>
      <c r="G134" s="19">
        <v>33267.599999999999</v>
      </c>
      <c r="H134" s="39">
        <v>0</v>
      </c>
      <c r="I134"/>
    </row>
    <row r="135" spans="1:9" s="1" customFormat="1" x14ac:dyDescent="0.25">
      <c r="A135" s="9"/>
      <c r="B135" s="29" t="s">
        <v>142</v>
      </c>
      <c r="C135" s="18">
        <v>7517.7900000000009</v>
      </c>
      <c r="D135" s="18">
        <v>0</v>
      </c>
      <c r="E135" s="18">
        <v>4983.4799999999996</v>
      </c>
      <c r="F135" s="18">
        <v>6436.19</v>
      </c>
      <c r="G135" s="19">
        <v>18937.46</v>
      </c>
      <c r="H135" s="39">
        <v>0</v>
      </c>
      <c r="I135"/>
    </row>
    <row r="136" spans="1:9" s="1" customFormat="1" x14ac:dyDescent="0.25">
      <c r="A136" s="9"/>
      <c r="B136" s="29" t="s">
        <v>143</v>
      </c>
      <c r="C136" s="18">
        <v>7517.7900000000009</v>
      </c>
      <c r="D136" s="18">
        <v>0</v>
      </c>
      <c r="E136" s="18">
        <v>5183.78</v>
      </c>
      <c r="F136" s="18">
        <v>4951.96</v>
      </c>
      <c r="G136" s="19">
        <v>17653.53</v>
      </c>
      <c r="H136" s="39">
        <v>0</v>
      </c>
      <c r="I136"/>
    </row>
    <row r="137" spans="1:9" s="1" customFormat="1" ht="15.75" thickBot="1" x14ac:dyDescent="0.3">
      <c r="A137" s="6"/>
      <c r="B137" s="29" t="s">
        <v>144</v>
      </c>
      <c r="C137" s="18">
        <v>5262.46</v>
      </c>
      <c r="D137" s="18">
        <v>570.26</v>
      </c>
      <c r="E137" s="18">
        <v>9100.61</v>
      </c>
      <c r="F137" s="18">
        <v>2268.8100000000004</v>
      </c>
      <c r="G137" s="19">
        <v>17202.140000000003</v>
      </c>
      <c r="H137" s="48">
        <v>1340</v>
      </c>
      <c r="I137"/>
    </row>
    <row r="138" spans="1:9" s="1" customFormat="1" ht="15.75" thickBot="1" x14ac:dyDescent="0.3">
      <c r="A138" s="14" t="s">
        <v>23</v>
      </c>
      <c r="B138" s="24"/>
      <c r="C138" s="21">
        <v>79482.880000000019</v>
      </c>
      <c r="D138" s="21">
        <v>4910.91</v>
      </c>
      <c r="E138" s="21">
        <v>86376.209999999992</v>
      </c>
      <c r="F138" s="21">
        <v>64713.229999999996</v>
      </c>
      <c r="G138" s="21">
        <v>235483.22999999998</v>
      </c>
      <c r="H138" s="50">
        <f>H133+H137</f>
        <v>9083</v>
      </c>
      <c r="I138"/>
    </row>
    <row r="139" spans="1:9" s="1" customFormat="1" x14ac:dyDescent="0.25">
      <c r="A139" s="9"/>
      <c r="B139" s="25"/>
      <c r="C139" s="18"/>
      <c r="D139" s="18"/>
      <c r="E139" s="18"/>
      <c r="F139" s="18"/>
      <c r="G139" s="19"/>
      <c r="H139" s="40">
        <v>0</v>
      </c>
      <c r="I139"/>
    </row>
    <row r="140" spans="1:9" s="1" customFormat="1" ht="15.75" thickBot="1" x14ac:dyDescent="0.3">
      <c r="A140" s="6" t="s">
        <v>24</v>
      </c>
      <c r="B140" s="11" t="s">
        <v>145</v>
      </c>
      <c r="C140" s="30">
        <v>0</v>
      </c>
      <c r="D140" s="30">
        <v>0</v>
      </c>
      <c r="E140" s="30">
        <v>0</v>
      </c>
      <c r="F140" s="30">
        <v>0</v>
      </c>
      <c r="G140" s="31">
        <v>0</v>
      </c>
      <c r="H140" s="43">
        <v>0</v>
      </c>
      <c r="I140"/>
    </row>
    <row r="141" spans="1:9" s="1" customFormat="1" ht="15.75" thickBot="1" x14ac:dyDescent="0.3">
      <c r="A141" s="6" t="s">
        <v>25</v>
      </c>
      <c r="B141" s="15"/>
      <c r="C141" s="31">
        <v>0</v>
      </c>
      <c r="D141" s="31">
        <v>0</v>
      </c>
      <c r="E141" s="31">
        <v>0</v>
      </c>
      <c r="F141" s="31">
        <v>0</v>
      </c>
      <c r="G141" s="31">
        <v>0</v>
      </c>
      <c r="H141" s="44">
        <v>0</v>
      </c>
      <c r="I141"/>
    </row>
    <row r="142" spans="1:9" s="1" customFormat="1" ht="15.75" thickBot="1" x14ac:dyDescent="0.3">
      <c r="A142" s="6"/>
      <c r="B142" s="15"/>
      <c r="C142" s="30"/>
      <c r="D142" s="30"/>
      <c r="E142" s="30"/>
      <c r="F142" s="30"/>
      <c r="G142" s="31"/>
      <c r="H142" s="36"/>
      <c r="I142"/>
    </row>
    <row r="143" spans="1:9" s="1" customFormat="1" ht="15.75" thickBot="1" x14ac:dyDescent="0.3">
      <c r="A143" s="6" t="s">
        <v>5</v>
      </c>
      <c r="B143" s="15"/>
      <c r="C143" s="31">
        <v>491711.65999999986</v>
      </c>
      <c r="D143" s="31">
        <v>69092.609999999986</v>
      </c>
      <c r="E143" s="31">
        <v>712002.55</v>
      </c>
      <c r="F143" s="31">
        <v>486559.12</v>
      </c>
      <c r="G143" s="31">
        <v>1759365.9399999992</v>
      </c>
      <c r="H143" s="51">
        <f>H138+H124+H59+H24</f>
        <v>163470</v>
      </c>
      <c r="I143"/>
    </row>
  </sheetData>
  <mergeCells count="3">
    <mergeCell ref="A1:G1"/>
    <mergeCell ref="H5:H6"/>
    <mergeCell ref="H8:H9"/>
  </mergeCells>
  <pageMargins left="0.7" right="0.7" top="0.75" bottom="0.75" header="0.3" footer="0.3"/>
  <pageSetup paperSize="9" scale="75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 xmlns="http://www.objective.com/ecm/document/metadata/45BB653EDB824FF3834FB37A1F825EB0" version="1.0.0">
  <systemFields>
    <field name="Objective-Id">
      <value order="0">A1306252</value>
    </field>
    <field name="Objective-Title">
      <value order="0">Summary Quarter 2 2017 Members Expenditure Disclosure</value>
    </field>
    <field name="Objective-Description">
      <value order="0"/>
    </field>
    <field name="Objective-CreationStamp">
      <value order="0">2017-02-12T19:46:44Z</value>
    </field>
    <field name="Objective-IsApproved">
      <value order="0">false</value>
    </field>
    <field name="Objective-IsPublished">
      <value order="0">false</value>
    </field>
    <field name="Objective-DatePublished">
      <value order="0"/>
    </field>
    <field name="Objective-ModificationStamp">
      <value order="0">2017-02-15T02:41:42Z</value>
    </field>
    <field name="Objective-Owner">
      <value order="0">Kristina Beaufort</value>
    </field>
    <field name="Objective-Path">
      <value order="0">Objective Global Folder:Home:Kristina Beaufort:Special Folder - Kristina Beaufort:Handy - Kristina Beaufort</value>
    </field>
    <field name="Objective-Parent">
      <value order="0">Handy - Kristina Beaufort</value>
    </field>
    <field name="Objective-State">
      <value order="0">Being Edited</value>
    </field>
    <field name="Objective-VersionId">
      <value order="0">vA1970221</value>
    </field>
    <field name="Objective-Version">
      <value order="0">2.1</value>
    </field>
    <field name="Objective-VersionNumber">
      <value order="0">4</value>
    </field>
    <field name="Objective-VersionComment">
      <value order="0"/>
    </field>
    <field name="Objective-FileNumber">
      <value order="0"/>
    </field>
    <field name="Objective-Classification">
      <value order="0">Unclassified</value>
    </field>
    <field name="Objective-Caveats">
      <value order="0"/>
    </field>
  </systemFields>
  <catalogues/>
</metadata>
</file>

<file path=customXml/itemProps1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45BB653EDB824FF3834FB37A1F825EB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Parties</vt:lpstr>
    </vt:vector>
  </TitlesOfParts>
  <Company>Parliamentary Service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Nitschke</dc:creator>
  <cp:lastModifiedBy>Kristina Beaufort</cp:lastModifiedBy>
  <dcterms:created xsi:type="dcterms:W3CDTF">2017-02-08T07:33:55Z</dcterms:created>
  <dcterms:modified xsi:type="dcterms:W3CDTF">2017-02-15T21:00:00Z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A1306252</vt:lpwstr>
  </property>
  <property fmtid="{D5CDD505-2E9C-101B-9397-08002B2CF9AE}" pid="4" name="Objective-Title">
    <vt:lpwstr>Summary Quarter 2 2017 Members Expenditure Disclosure</vt:lpwstr>
  </property>
  <property fmtid="{D5CDD505-2E9C-101B-9397-08002B2CF9AE}" pid="5" name="Objective-Description">
    <vt:lpwstr/>
  </property>
  <property fmtid="{D5CDD505-2E9C-101B-9397-08002B2CF9AE}" pid="6" name="Objective-CreationStamp">
    <vt:filetime>2017-02-12T19:46:59Z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2017-02-15T03:14:38Z</vt:filetime>
  </property>
  <property fmtid="{D5CDD505-2E9C-101B-9397-08002B2CF9AE}" pid="10" name="Objective-ModificationStamp">
    <vt:filetime>2017-02-15T03:14:38Z</vt:filetime>
  </property>
  <property fmtid="{D5CDD505-2E9C-101B-9397-08002B2CF9AE}" pid="11" name="Objective-Owner">
    <vt:lpwstr>Kristina Beaufort</vt:lpwstr>
  </property>
  <property fmtid="{D5CDD505-2E9C-101B-9397-08002B2CF9AE}" pid="12" name="Objective-Path">
    <vt:lpwstr>Objective Global Folder:Home:Kristina Beaufort:Special Folder - Kristina Beaufort:Handy - Kristina Beaufort:</vt:lpwstr>
  </property>
  <property fmtid="{D5CDD505-2E9C-101B-9397-08002B2CF9AE}" pid="13" name="Objective-Parent">
    <vt:lpwstr>Handy - Kristina Beaufort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vA1970221</vt:lpwstr>
  </property>
  <property fmtid="{D5CDD505-2E9C-101B-9397-08002B2CF9AE}" pid="16" name="Objective-Version">
    <vt:lpwstr>3.0</vt:lpwstr>
  </property>
  <property fmtid="{D5CDD505-2E9C-101B-9397-08002B2CF9AE}" pid="17" name="Objective-VersionNumber">
    <vt:r8>4</vt:r8>
  </property>
  <property fmtid="{D5CDD505-2E9C-101B-9397-08002B2CF9AE}" pid="18" name="Objective-VersionComment">
    <vt:lpwstr/>
  </property>
  <property fmtid="{D5CDD505-2E9C-101B-9397-08002B2CF9AE}" pid="19" name="Objective-FileNumber">
    <vt:lpwstr/>
  </property>
  <property fmtid="{D5CDD505-2E9C-101B-9397-08002B2CF9AE}" pid="20" name="Objective-Classification">
    <vt:lpwstr>[Inherited - Unclassified]</vt:lpwstr>
  </property>
  <property fmtid="{D5CDD505-2E9C-101B-9397-08002B2CF9AE}" pid="21" name="Objective-Caveats">
    <vt:lpwstr/>
  </property>
  <property fmtid="{D5CDD505-2E9C-101B-9397-08002B2CF9AE}" pid="22" name="Objective-Comment">
    <vt:lpwstr/>
  </property>
</Properties>
</file>