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8.2 Credit card releases\Folder for Publication\2025-2026\2025-2026-Q1-Nov 2025 - Executive Expenses\"/>
    </mc:Choice>
  </mc:AlternateContent>
  <xr:revisionPtr revIDLastSave="0" documentId="8_{8F22DF17-4066-4DE6-8D29-08D1B841DE02}" xr6:coauthVersionLast="47" xr6:coauthVersionMax="47" xr10:uidLastSave="{00000000-0000-0000-0000-000000000000}"/>
  <bookViews>
    <workbookView xWindow="-105" yWindow="-21600" windowWidth="26010" windowHeight="20985" xr2:uid="{60F1CDD5-D051-4E8E-AB75-048267B63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H36" i="1"/>
  <c r="H37" i="1"/>
  <c r="H34" i="1"/>
  <c r="H33" i="1"/>
  <c r="H30" i="1"/>
  <c r="H29" i="1"/>
  <c r="H28" i="1"/>
  <c r="H27" i="1"/>
  <c r="H26" i="1"/>
  <c r="H25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4" i="1"/>
  <c r="D38" i="1"/>
  <c r="I31" i="1"/>
  <c r="F31" i="1"/>
  <c r="E31" i="1"/>
  <c r="I23" i="1"/>
  <c r="G23" i="1"/>
  <c r="F23" i="1"/>
  <c r="E23" i="1"/>
  <c r="D23" i="1"/>
  <c r="G31" i="1" l="1"/>
  <c r="E38" i="1"/>
  <c r="E39" i="1" s="1"/>
  <c r="F38" i="1"/>
  <c r="G38" i="1"/>
  <c r="I38" i="1"/>
  <c r="H31" i="1"/>
  <c r="H38" i="1"/>
  <c r="D31" i="1"/>
  <c r="D39" i="1" s="1"/>
  <c r="H23" i="1"/>
  <c r="H39" i="1" s="1"/>
  <c r="I39" i="1"/>
  <c r="F39" i="1"/>
  <c r="G39" i="1" l="1"/>
</calcChain>
</file>

<file path=xl/sharedStrings.xml><?xml version="1.0" encoding="utf-8"?>
<sst xmlns="http://schemas.openxmlformats.org/spreadsheetml/2006/main" count="50" uniqueCount="50">
  <si>
    <t>MEMBERS OF THE EXECUTIVE EXPENSES FROM 1 JULY TO 30 SEPTEMBER 2025</t>
  </si>
  <si>
    <t xml:space="preserve">Member of the Executive
</t>
  </si>
  <si>
    <t xml:space="preserve">Wellington Accommodation 
</t>
  </si>
  <si>
    <t xml:space="preserve">Out of Wellington Accommodation
</t>
  </si>
  <si>
    <t xml:space="preserve"> Domestic Air Travel 
</t>
  </si>
  <si>
    <t xml:space="preserve"> Surface Travel (Ministers, Spouse and staff (B)
</t>
  </si>
  <si>
    <t xml:space="preserve">Sub Total Internal Costs
 </t>
  </si>
  <si>
    <t xml:space="preserve">Official Cabinet Approved International Travel ( A ) </t>
  </si>
  <si>
    <t>National</t>
  </si>
  <si>
    <t>Rt Hon Christopher Luxon</t>
  </si>
  <si>
    <t>Hon Nicola Willis</t>
  </si>
  <si>
    <t>Hon Chris Bishop</t>
  </si>
  <si>
    <t>Hon Dr Shane Reti</t>
  </si>
  <si>
    <t>Hon Simeon Brown</t>
  </si>
  <si>
    <t>Hon Erica Stanford</t>
  </si>
  <si>
    <t>Hon Paul Goldsmith</t>
  </si>
  <si>
    <t>Hon Louise Upston</t>
  </si>
  <si>
    <t>Hon Judith Collins, KC</t>
  </si>
  <si>
    <t>Hon Mark Mitchell</t>
  </si>
  <si>
    <t>Hon Todd McClay</t>
  </si>
  <si>
    <t>Hon Tama Potaka</t>
  </si>
  <si>
    <t>Hon Matt Doocey</t>
  </si>
  <si>
    <t>Hon Simon Watts</t>
  </si>
  <si>
    <t>Hon Penny Simmonds</t>
  </si>
  <si>
    <t>Hon Chris Penk</t>
  </si>
  <si>
    <t>Hon Nicola Grigg</t>
  </si>
  <si>
    <t>Hon James Meager</t>
  </si>
  <si>
    <t>Hon Scott Simpson</t>
  </si>
  <si>
    <t>National Total</t>
  </si>
  <si>
    <t>Act</t>
  </si>
  <si>
    <t>Hon David Seymour</t>
  </si>
  <si>
    <t>Hon Brooke van Velden</t>
  </si>
  <si>
    <t>Hon Nicole McKee</t>
  </si>
  <si>
    <t>Hon Andrew Hoggard</t>
  </si>
  <si>
    <t>Hon Karen Chhour</t>
  </si>
  <si>
    <t>Simon Court MP</t>
  </si>
  <si>
    <t>Act Total</t>
  </si>
  <si>
    <t>NZ First</t>
  </si>
  <si>
    <t>Rt Hon Winston Peters</t>
  </si>
  <si>
    <t>Hon Shane Jones</t>
  </si>
  <si>
    <t>Hon Casey Costello</t>
  </si>
  <si>
    <t>Hon Mark Patterson</t>
  </si>
  <si>
    <t>Jenny Marcroft MP</t>
  </si>
  <si>
    <t>NZ First Total</t>
  </si>
  <si>
    <t>Total National, ACT and NZ First</t>
  </si>
  <si>
    <t>Notes</t>
  </si>
  <si>
    <t>These figures may include expenses incurred in previous quarters due to the timing of invoicing.</t>
  </si>
  <si>
    <t>Excludes GST, Fringe Benefit Tax &amp; depreciation as applicable</t>
  </si>
  <si>
    <t>(A) Ministers, spouse, staff where relevant. This may also include provisional airfares for forward travels, as well as costs of other Ministers as part of the Accompanying Ministerial Party.</t>
  </si>
  <si>
    <t>(B) These figures include the use of VIPT/Crown vehicles, taxis, rental cars, parking fees, tolls and mileage claims.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</si>
</sst>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_);\(#,###\);\-_)\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9"/>
      <color rgb="FF00000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6" fillId="0" borderId="4" xfId="0" applyNumberFormat="1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2" fontId="6" fillId="0" borderId="2" xfId="0" applyNumberFormat="1" applyFont="1" applyBorder="1" applyAlignment="1">
      <alignment horizontal="center" vertical="center" wrapText="1"/>
    </xf>
    <xf numFmtId="0" fontId="6" fillId="0" borderId="6" xfId="0" applyFont="1" applyBorder="1"/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6" fillId="0" borderId="9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2" fontId="6" fillId="0" borderId="7" xfId="0" applyNumberFormat="1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0" fontId="1" fillId="0" borderId="11" xfId="0" applyFont="1" applyBorder="1"/>
    <xf numFmtId="164" fontId="1" fillId="0" borderId="7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6" fillId="0" borderId="7" xfId="0" applyNumberFormat="1" applyFont="1" applyBorder="1"/>
    <xf numFmtId="0" fontId="6" fillId="2" borderId="11" xfId="0" applyFont="1" applyFill="1" applyBorder="1"/>
    <xf numFmtId="164" fontId="1" fillId="2" borderId="7" xfId="0" applyNumberFormat="1" applyFont="1" applyFill="1" applyBorder="1"/>
    <xf numFmtId="164" fontId="1" fillId="2" borderId="8" xfId="0" applyNumberFormat="1" applyFont="1" applyFill="1" applyBorder="1"/>
    <xf numFmtId="164" fontId="1" fillId="2" borderId="9" xfId="0" applyNumberFormat="1" applyFont="1" applyFill="1" applyBorder="1"/>
    <xf numFmtId="2" fontId="6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/>
    <xf numFmtId="0" fontId="7" fillId="0" borderId="7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/>
    </xf>
    <xf numFmtId="164" fontId="6" fillId="2" borderId="13" xfId="0" applyNumberFormat="1" applyFont="1" applyFill="1" applyBorder="1" applyAlignment="1">
      <alignment vertical="center"/>
    </xf>
    <xf numFmtId="164" fontId="6" fillId="2" borderId="14" xfId="0" applyNumberFormat="1" applyFont="1" applyFill="1" applyBorder="1" applyAlignment="1">
      <alignment vertical="center"/>
    </xf>
    <xf numFmtId="164" fontId="6" fillId="2" borderId="15" xfId="0" applyNumberFormat="1" applyFont="1" applyFill="1" applyBorder="1" applyAlignment="1">
      <alignment vertical="center"/>
    </xf>
    <xf numFmtId="37" fontId="8" fillId="2" borderId="16" xfId="0" applyNumberFormat="1" applyFont="1" applyFill="1" applyBorder="1" applyAlignment="1">
      <alignment vertical="center"/>
    </xf>
    <xf numFmtId="0" fontId="9" fillId="0" borderId="0" xfId="0" applyFont="1"/>
    <xf numFmtId="0" fontId="10" fillId="0" borderId="0" xfId="0" applyFont="1" applyAlignment="1">
      <alignment vertical="center"/>
    </xf>
    <xf numFmtId="0" fontId="6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/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10" xfId="0" applyFont="1" applyBorder="1" applyAlignment="1">
      <alignment vertical="center"/>
    </xf>
    <xf numFmtId="0" fontId="11" fillId="0" borderId="0" xfId="0" applyFont="1"/>
    <xf numFmtId="0" fontId="10" fillId="0" borderId="11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2" fontId="6" fillId="0" borderId="3" xfId="0" applyNumberFormat="1" applyFont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338BA-16FA-42A3-90A1-B48930F1AEA8}">
  <sheetPr>
    <pageSetUpPr fitToPage="1"/>
  </sheetPr>
  <dimension ref="A1:K49"/>
  <sheetViews>
    <sheetView showGridLines="0" tabSelected="1" workbookViewId="0">
      <selection activeCell="B1" sqref="B1:I1"/>
    </sheetView>
  </sheetViews>
  <sheetFormatPr defaultColWidth="9" defaultRowHeight="14.4" x14ac:dyDescent="0.3"/>
  <cols>
    <col min="1" max="1" width="2.21875" style="1" customWidth="1"/>
    <col min="2" max="2" width="29.77734375" style="1" customWidth="1"/>
    <col min="3" max="3" width="2.44140625" style="1" customWidth="1"/>
    <col min="4" max="4" width="15.6640625" style="1" customWidth="1"/>
    <col min="5" max="5" width="15" style="1" customWidth="1"/>
    <col min="6" max="6" width="12.33203125" style="1" customWidth="1"/>
    <col min="7" max="7" width="12.88671875" style="1" customWidth="1"/>
    <col min="8" max="8" width="10.44140625" style="1" customWidth="1"/>
    <col min="9" max="9" width="11" style="1" customWidth="1"/>
    <col min="10" max="11" width="1.6640625" style="1" customWidth="1"/>
    <col min="12" max="16384" width="9" style="1"/>
  </cols>
  <sheetData>
    <row r="1" spans="1:10" ht="18.600000000000001" thickBot="1" x14ac:dyDescent="0.35">
      <c r="B1" s="48" t="s">
        <v>0</v>
      </c>
      <c r="C1" s="48"/>
      <c r="D1" s="48"/>
      <c r="E1" s="48"/>
      <c r="F1" s="48"/>
      <c r="G1" s="48"/>
      <c r="H1" s="48"/>
      <c r="I1" s="48"/>
    </row>
    <row r="2" spans="1:10" ht="94.95" customHeight="1" x14ac:dyDescent="0.3">
      <c r="A2" s="2"/>
      <c r="B2" s="3" t="s">
        <v>1</v>
      </c>
      <c r="C2" s="4"/>
      <c r="D2" s="5" t="s">
        <v>2</v>
      </c>
      <c r="E2" s="6" t="s">
        <v>3</v>
      </c>
      <c r="F2" s="7" t="s">
        <v>4</v>
      </c>
      <c r="G2" s="6" t="s">
        <v>5</v>
      </c>
      <c r="H2" s="8" t="s">
        <v>6</v>
      </c>
      <c r="I2" s="49" t="s">
        <v>7</v>
      </c>
      <c r="J2" s="50"/>
    </row>
    <row r="3" spans="1:10" ht="16.2" customHeight="1" x14ac:dyDescent="0.3">
      <c r="A3" s="2"/>
      <c r="B3" s="9" t="s">
        <v>8</v>
      </c>
      <c r="C3" s="10"/>
      <c r="D3" s="11"/>
      <c r="E3" s="12"/>
      <c r="F3" s="13"/>
      <c r="G3" s="12"/>
      <c r="H3" s="14"/>
      <c r="I3" s="13"/>
      <c r="J3" s="15"/>
    </row>
    <row r="4" spans="1:10" x14ac:dyDescent="0.3">
      <c r="A4" s="2"/>
      <c r="B4" s="16" t="s">
        <v>9</v>
      </c>
      <c r="C4" s="17"/>
      <c r="D4" s="18">
        <v>0</v>
      </c>
      <c r="E4" s="19">
        <v>1098.25</v>
      </c>
      <c r="F4" s="19">
        <v>8718.5299999999988</v>
      </c>
      <c r="G4" s="19">
        <v>38138.17</v>
      </c>
      <c r="H4" s="19">
        <f>SUM(D4:G4)</f>
        <v>47954.95</v>
      </c>
      <c r="I4" s="18">
        <v>48437.4</v>
      </c>
      <c r="J4" s="15"/>
    </row>
    <row r="5" spans="1:10" x14ac:dyDescent="0.3">
      <c r="A5" s="2"/>
      <c r="B5" s="16" t="s">
        <v>10</v>
      </c>
      <c r="C5" s="17"/>
      <c r="D5" s="18">
        <v>0</v>
      </c>
      <c r="E5" s="19">
        <v>2137.3100000000004</v>
      </c>
      <c r="F5" s="19">
        <v>9728.9700000000012</v>
      </c>
      <c r="G5" s="19">
        <v>10505.33</v>
      </c>
      <c r="H5" s="19">
        <f t="shared" ref="H5:H22" si="0">SUM(D5:G5)</f>
        <v>22371.61</v>
      </c>
      <c r="I5" s="18">
        <v>33722.93</v>
      </c>
      <c r="J5" s="15"/>
    </row>
    <row r="6" spans="1:10" x14ac:dyDescent="0.3">
      <c r="A6" s="2"/>
      <c r="B6" s="16" t="s">
        <v>11</v>
      </c>
      <c r="C6" s="17"/>
      <c r="D6" s="18">
        <v>0</v>
      </c>
      <c r="E6" s="19">
        <v>1260.73</v>
      </c>
      <c r="F6" s="19">
        <v>8365.56</v>
      </c>
      <c r="G6" s="19">
        <v>19576.690000000002</v>
      </c>
      <c r="H6" s="19">
        <f t="shared" si="0"/>
        <v>29202.980000000003</v>
      </c>
      <c r="I6" s="18">
        <v>73444.490000000005</v>
      </c>
      <c r="J6" s="15"/>
    </row>
    <row r="7" spans="1:10" x14ac:dyDescent="0.3">
      <c r="A7" s="2"/>
      <c r="B7" s="16" t="s">
        <v>12</v>
      </c>
      <c r="C7" s="17"/>
      <c r="D7" s="18">
        <v>12285.71428571429</v>
      </c>
      <c r="E7" s="19">
        <v>2501.75</v>
      </c>
      <c r="F7" s="19">
        <v>14319.289999999999</v>
      </c>
      <c r="G7" s="19">
        <v>13098.580000000002</v>
      </c>
      <c r="H7" s="19">
        <f t="shared" si="0"/>
        <v>42205.334285714292</v>
      </c>
      <c r="I7" s="18">
        <v>35042.390000000007</v>
      </c>
      <c r="J7" s="15"/>
    </row>
    <row r="8" spans="1:10" x14ac:dyDescent="0.3">
      <c r="A8" s="2"/>
      <c r="B8" s="16" t="s">
        <v>13</v>
      </c>
      <c r="C8" s="17"/>
      <c r="D8" s="18">
        <v>12285.71428571429</v>
      </c>
      <c r="E8" s="19">
        <v>639.13</v>
      </c>
      <c r="F8" s="19">
        <v>6393.51</v>
      </c>
      <c r="G8" s="19">
        <v>20710.830000000002</v>
      </c>
      <c r="H8" s="19">
        <f t="shared" si="0"/>
        <v>40029.184285714291</v>
      </c>
      <c r="I8" s="18">
        <v>2001.74</v>
      </c>
      <c r="J8" s="15"/>
    </row>
    <row r="9" spans="1:10" ht="14.7" customHeight="1" x14ac:dyDescent="0.3">
      <c r="A9" s="2"/>
      <c r="B9" s="16" t="s">
        <v>14</v>
      </c>
      <c r="C9" s="17"/>
      <c r="D9" s="18">
        <v>12285.71428571429</v>
      </c>
      <c r="E9" s="19">
        <v>1204.2599999999998</v>
      </c>
      <c r="F9" s="19">
        <v>9413.06</v>
      </c>
      <c r="G9" s="19">
        <v>19570.28</v>
      </c>
      <c r="H9" s="19">
        <f t="shared" si="0"/>
        <v>42473.314285714288</v>
      </c>
      <c r="I9" s="18">
        <v>19721.55</v>
      </c>
      <c r="J9" s="15"/>
    </row>
    <row r="10" spans="1:10" x14ac:dyDescent="0.3">
      <c r="A10" s="2"/>
      <c r="B10" s="16" t="s">
        <v>15</v>
      </c>
      <c r="C10" s="17"/>
      <c r="D10" s="18">
        <v>12285.71428571429</v>
      </c>
      <c r="E10" s="19">
        <v>594.78</v>
      </c>
      <c r="F10" s="19">
        <v>10212.369999999999</v>
      </c>
      <c r="G10" s="19">
        <v>10892.109999999999</v>
      </c>
      <c r="H10" s="19">
        <f t="shared" si="0"/>
        <v>33984.974285714292</v>
      </c>
      <c r="I10" s="18">
        <v>14853.730000000001</v>
      </c>
      <c r="J10" s="15"/>
    </row>
    <row r="11" spans="1:10" x14ac:dyDescent="0.3">
      <c r="A11" s="2"/>
      <c r="B11" s="16" t="s">
        <v>16</v>
      </c>
      <c r="C11" s="17"/>
      <c r="D11" s="18">
        <v>12285.71428571429</v>
      </c>
      <c r="E11" s="19">
        <v>4810.2300000000005</v>
      </c>
      <c r="F11" s="19">
        <v>9969.56</v>
      </c>
      <c r="G11" s="19">
        <v>19051.260000000002</v>
      </c>
      <c r="H11" s="19">
        <f t="shared" si="0"/>
        <v>46116.764285714293</v>
      </c>
      <c r="I11" s="18">
        <v>28884.400000000001</v>
      </c>
      <c r="J11" s="15"/>
    </row>
    <row r="12" spans="1:10" x14ac:dyDescent="0.3">
      <c r="A12" s="2"/>
      <c r="B12" s="16" t="s">
        <v>17</v>
      </c>
      <c r="C12" s="17"/>
      <c r="D12" s="18">
        <v>12285.71428571429</v>
      </c>
      <c r="E12" s="19">
        <v>514.78</v>
      </c>
      <c r="F12" s="19">
        <v>5351.7099999999991</v>
      </c>
      <c r="G12" s="19">
        <v>12278.599999999999</v>
      </c>
      <c r="H12" s="19">
        <f t="shared" si="0"/>
        <v>30430.804285714286</v>
      </c>
      <c r="I12" s="18">
        <v>132793.98000000001</v>
      </c>
      <c r="J12" s="15"/>
    </row>
    <row r="13" spans="1:10" x14ac:dyDescent="0.3">
      <c r="A13" s="2"/>
      <c r="B13" s="16" t="s">
        <v>18</v>
      </c>
      <c r="C13" s="17"/>
      <c r="D13" s="18">
        <v>12285.71428571429</v>
      </c>
      <c r="E13" s="19">
        <v>0</v>
      </c>
      <c r="F13" s="19">
        <v>13540.470000000001</v>
      </c>
      <c r="G13" s="19">
        <v>22802.240000000002</v>
      </c>
      <c r="H13" s="19">
        <f t="shared" si="0"/>
        <v>48628.424285714296</v>
      </c>
      <c r="I13" s="18">
        <v>57340.609999999993</v>
      </c>
      <c r="J13" s="15"/>
    </row>
    <row r="14" spans="1:10" x14ac:dyDescent="0.3">
      <c r="A14" s="2"/>
      <c r="B14" s="16" t="s">
        <v>19</v>
      </c>
      <c r="C14" s="17"/>
      <c r="D14" s="18">
        <v>12285.71428571429</v>
      </c>
      <c r="E14" s="19">
        <v>3335.57</v>
      </c>
      <c r="F14" s="19">
        <v>13087.77</v>
      </c>
      <c r="G14" s="19">
        <v>10365.290000000001</v>
      </c>
      <c r="H14" s="19">
        <f t="shared" si="0"/>
        <v>39074.344285714295</v>
      </c>
      <c r="I14" s="18">
        <v>141598.28999999998</v>
      </c>
      <c r="J14" s="15"/>
    </row>
    <row r="15" spans="1:10" x14ac:dyDescent="0.3">
      <c r="A15" s="2"/>
      <c r="B15" s="16" t="s">
        <v>20</v>
      </c>
      <c r="C15" s="17"/>
      <c r="D15" s="18">
        <v>12285.71428571429</v>
      </c>
      <c r="E15" s="19">
        <v>2544.5300000000002</v>
      </c>
      <c r="F15" s="19">
        <v>7318.15</v>
      </c>
      <c r="G15" s="19">
        <v>14816.7</v>
      </c>
      <c r="H15" s="19">
        <f t="shared" si="0"/>
        <v>36965.094285714295</v>
      </c>
      <c r="I15" s="18">
        <v>35273.020000000004</v>
      </c>
      <c r="J15" s="15"/>
    </row>
    <row r="16" spans="1:10" x14ac:dyDescent="0.3">
      <c r="A16" s="2"/>
      <c r="B16" s="16" t="s">
        <v>21</v>
      </c>
      <c r="C16" s="17"/>
      <c r="D16" s="18">
        <v>12285.71428571429</v>
      </c>
      <c r="E16" s="19">
        <v>1082.5500000000002</v>
      </c>
      <c r="F16" s="19">
        <v>12488.619999999999</v>
      </c>
      <c r="G16" s="19">
        <v>15759.18</v>
      </c>
      <c r="H16" s="19">
        <f t="shared" si="0"/>
        <v>41616.064285714288</v>
      </c>
      <c r="I16" s="18">
        <v>180.39</v>
      </c>
      <c r="J16" s="15"/>
    </row>
    <row r="17" spans="1:10" x14ac:dyDescent="0.3">
      <c r="A17" s="2"/>
      <c r="B17" s="16" t="s">
        <v>22</v>
      </c>
      <c r="C17" s="17"/>
      <c r="D17" s="18">
        <v>9108.67</v>
      </c>
      <c r="E17" s="19">
        <v>417.4</v>
      </c>
      <c r="F17" s="19">
        <v>9076.74</v>
      </c>
      <c r="G17" s="19">
        <v>15750.71</v>
      </c>
      <c r="H17" s="19">
        <f t="shared" si="0"/>
        <v>34353.519999999997</v>
      </c>
      <c r="I17" s="18">
        <v>31666.32</v>
      </c>
      <c r="J17" s="15"/>
    </row>
    <row r="18" spans="1:10" x14ac:dyDescent="0.3">
      <c r="A18" s="2"/>
      <c r="B18" s="16" t="s">
        <v>23</v>
      </c>
      <c r="C18" s="17"/>
      <c r="D18" s="18">
        <v>6330.45</v>
      </c>
      <c r="E18" s="19">
        <v>1361.76</v>
      </c>
      <c r="F18" s="19">
        <v>10972.619999999999</v>
      </c>
      <c r="G18" s="19">
        <v>4166.1399999999994</v>
      </c>
      <c r="H18" s="19">
        <f t="shared" si="0"/>
        <v>22830.969999999998</v>
      </c>
      <c r="I18" s="18">
        <v>0</v>
      </c>
      <c r="J18" s="15"/>
    </row>
    <row r="19" spans="1:10" x14ac:dyDescent="0.3">
      <c r="A19" s="2"/>
      <c r="B19" s="16" t="s">
        <v>24</v>
      </c>
      <c r="C19" s="17"/>
      <c r="D19" s="18">
        <v>12285.71428571429</v>
      </c>
      <c r="E19" s="19">
        <v>785.23</v>
      </c>
      <c r="F19" s="19">
        <v>8213.36</v>
      </c>
      <c r="G19" s="19">
        <v>15583.279999999999</v>
      </c>
      <c r="H19" s="19">
        <f t="shared" si="0"/>
        <v>36867.584285714285</v>
      </c>
      <c r="I19" s="18">
        <v>12090.869999999999</v>
      </c>
      <c r="J19" s="15"/>
    </row>
    <row r="20" spans="1:10" x14ac:dyDescent="0.3">
      <c r="A20" s="2"/>
      <c r="B20" s="16" t="s">
        <v>25</v>
      </c>
      <c r="C20" s="17"/>
      <c r="D20" s="18">
        <v>3728.2900000000004</v>
      </c>
      <c r="E20" s="19">
        <v>567.83000000000004</v>
      </c>
      <c r="F20" s="19">
        <v>4814.4699999999993</v>
      </c>
      <c r="G20" s="19">
        <v>7561.4800000000005</v>
      </c>
      <c r="H20" s="19">
        <f t="shared" si="0"/>
        <v>16672.07</v>
      </c>
      <c r="I20" s="18">
        <v>8632.58</v>
      </c>
      <c r="J20" s="15"/>
    </row>
    <row r="21" spans="1:10" x14ac:dyDescent="0.3">
      <c r="A21" s="2"/>
      <c r="B21" s="16" t="s">
        <v>26</v>
      </c>
      <c r="C21" s="20"/>
      <c r="D21" s="18">
        <v>12285.71428571429</v>
      </c>
      <c r="E21" s="19">
        <v>1457.08</v>
      </c>
      <c r="F21" s="19">
        <v>10908.57</v>
      </c>
      <c r="G21" s="19">
        <v>11709.77</v>
      </c>
      <c r="H21" s="19">
        <f t="shared" si="0"/>
        <v>36361.134285714288</v>
      </c>
      <c r="I21" s="18">
        <v>0</v>
      </c>
      <c r="J21" s="15"/>
    </row>
    <row r="22" spans="1:10" x14ac:dyDescent="0.3">
      <c r="A22" s="2"/>
      <c r="B22" s="16" t="s">
        <v>27</v>
      </c>
      <c r="C22" s="20"/>
      <c r="D22" s="18">
        <v>4804.33</v>
      </c>
      <c r="E22" s="19">
        <v>2959.66</v>
      </c>
      <c r="F22" s="19">
        <v>5696.99</v>
      </c>
      <c r="G22" s="19">
        <v>5553.26</v>
      </c>
      <c r="H22" s="19">
        <f t="shared" si="0"/>
        <v>19014.239999999998</v>
      </c>
      <c r="I22" s="18">
        <v>90.399999999999991</v>
      </c>
      <c r="J22" s="15"/>
    </row>
    <row r="23" spans="1:10" x14ac:dyDescent="0.3">
      <c r="A23" s="2"/>
      <c r="B23" s="21" t="s">
        <v>28</v>
      </c>
      <c r="C23" s="22"/>
      <c r="D23" s="23">
        <f t="shared" ref="D23" si="1">SUM(D4:D22)</f>
        <v>171400.3114285715</v>
      </c>
      <c r="E23" s="24">
        <f t="shared" ref="E23" si="2">SUM(E4:E22)</f>
        <v>29272.830000000005</v>
      </c>
      <c r="F23" s="24">
        <f t="shared" ref="F23" si="3">SUM(F4:F22)</f>
        <v>178590.31999999998</v>
      </c>
      <c r="G23" s="24">
        <f t="shared" ref="G23" si="4">SUM(G4:G22)</f>
        <v>287889.90000000002</v>
      </c>
      <c r="H23" s="24">
        <f t="shared" ref="H23" si="5">SUM(H4:H22)</f>
        <v>667153.3614285714</v>
      </c>
      <c r="I23" s="23">
        <f t="shared" ref="I23" si="6">SUM(I4:I22)</f>
        <v>675775.09</v>
      </c>
      <c r="J23" s="25"/>
    </row>
    <row r="24" spans="1:10" x14ac:dyDescent="0.3">
      <c r="A24" s="2"/>
      <c r="B24" s="26" t="s">
        <v>29</v>
      </c>
      <c r="C24" s="17"/>
      <c r="D24" s="18"/>
      <c r="E24" s="19"/>
      <c r="F24" s="19"/>
      <c r="G24" s="19"/>
      <c r="H24" s="19"/>
      <c r="I24" s="18"/>
      <c r="J24" s="15"/>
    </row>
    <row r="25" spans="1:10" x14ac:dyDescent="0.3">
      <c r="A25" s="2"/>
      <c r="B25" s="16" t="s">
        <v>30</v>
      </c>
      <c r="C25" s="17"/>
      <c r="D25" s="18">
        <v>12285.71428571429</v>
      </c>
      <c r="E25" s="19">
        <v>1754.7800000000002</v>
      </c>
      <c r="F25" s="19">
        <v>12426.48</v>
      </c>
      <c r="G25" s="19">
        <v>15572.189999999999</v>
      </c>
      <c r="H25" s="19">
        <f t="shared" ref="H25:H30" si="7">SUM(D25:G25)</f>
        <v>42039.164285714287</v>
      </c>
      <c r="I25" s="18">
        <v>1746.53</v>
      </c>
      <c r="J25" s="15"/>
    </row>
    <row r="26" spans="1:10" x14ac:dyDescent="0.3">
      <c r="A26" s="2"/>
      <c r="B26" s="16" t="s">
        <v>31</v>
      </c>
      <c r="C26" s="17"/>
      <c r="D26" s="18">
        <v>12285.71428571429</v>
      </c>
      <c r="E26" s="19">
        <v>0</v>
      </c>
      <c r="F26" s="19">
        <v>6087.2300000000005</v>
      </c>
      <c r="G26" s="19">
        <v>6826.34</v>
      </c>
      <c r="H26" s="19">
        <f t="shared" si="7"/>
        <v>25199.28428571429</v>
      </c>
      <c r="I26" s="18">
        <v>0</v>
      </c>
      <c r="J26" s="15"/>
    </row>
    <row r="27" spans="1:10" x14ac:dyDescent="0.3">
      <c r="A27" s="2"/>
      <c r="B27" s="16" t="s">
        <v>32</v>
      </c>
      <c r="C27" s="17"/>
      <c r="D27" s="18">
        <v>0</v>
      </c>
      <c r="E27" s="19">
        <v>1622.6200000000001</v>
      </c>
      <c r="F27" s="19">
        <v>6904.8099999999995</v>
      </c>
      <c r="G27" s="19">
        <v>4895.43</v>
      </c>
      <c r="H27" s="19">
        <f t="shared" si="7"/>
        <v>13422.86</v>
      </c>
      <c r="I27" s="18">
        <v>0</v>
      </c>
      <c r="J27" s="15"/>
    </row>
    <row r="28" spans="1:10" x14ac:dyDescent="0.3">
      <c r="A28" s="2"/>
      <c r="B28" s="16" t="s">
        <v>33</v>
      </c>
      <c r="C28" s="17"/>
      <c r="D28" s="18">
        <v>4591.29</v>
      </c>
      <c r="E28" s="19">
        <v>1652.64</v>
      </c>
      <c r="F28" s="19">
        <v>4421.34</v>
      </c>
      <c r="G28" s="19">
        <v>12591.199999999997</v>
      </c>
      <c r="H28" s="19">
        <f t="shared" si="7"/>
        <v>23256.469999999998</v>
      </c>
      <c r="I28" s="18">
        <v>27746.940000000002</v>
      </c>
      <c r="J28" s="15"/>
    </row>
    <row r="29" spans="1:10" x14ac:dyDescent="0.3">
      <c r="A29" s="2"/>
      <c r="B29" s="16" t="s">
        <v>34</v>
      </c>
      <c r="C29" s="17"/>
      <c r="D29" s="18">
        <v>12285.71428571429</v>
      </c>
      <c r="E29" s="19">
        <v>502.61</v>
      </c>
      <c r="F29" s="19">
        <v>6012.67</v>
      </c>
      <c r="G29" s="19">
        <v>7064.95</v>
      </c>
      <c r="H29" s="19">
        <f t="shared" si="7"/>
        <v>25865.944285714289</v>
      </c>
      <c r="I29" s="18">
        <v>0</v>
      </c>
      <c r="J29" s="15"/>
    </row>
    <row r="30" spans="1:10" x14ac:dyDescent="0.3">
      <c r="A30" s="2"/>
      <c r="B30" s="16" t="s">
        <v>35</v>
      </c>
      <c r="C30" s="17"/>
      <c r="D30" s="18">
        <v>8600</v>
      </c>
      <c r="E30" s="19">
        <v>539.14</v>
      </c>
      <c r="F30" s="19">
        <v>11308.14</v>
      </c>
      <c r="G30" s="19">
        <v>8767.4399999999987</v>
      </c>
      <c r="H30" s="19">
        <f t="shared" si="7"/>
        <v>29214.719999999998</v>
      </c>
      <c r="I30" s="18">
        <v>0</v>
      </c>
      <c r="J30" s="15"/>
    </row>
    <row r="31" spans="1:10" x14ac:dyDescent="0.3">
      <c r="A31" s="2"/>
      <c r="B31" s="21" t="s">
        <v>36</v>
      </c>
      <c r="C31" s="22"/>
      <c r="D31" s="23">
        <f t="shared" ref="D31:I31" si="8">SUM(D25:D30)</f>
        <v>50048.43285714287</v>
      </c>
      <c r="E31" s="24">
        <f t="shared" si="8"/>
        <v>6071.7900000000009</v>
      </c>
      <c r="F31" s="24">
        <f t="shared" si="8"/>
        <v>47160.67</v>
      </c>
      <c r="G31" s="24">
        <f t="shared" si="8"/>
        <v>55717.549999999988</v>
      </c>
      <c r="H31" s="24">
        <f t="shared" si="8"/>
        <v>158998.44285714286</v>
      </c>
      <c r="I31" s="23">
        <f t="shared" si="8"/>
        <v>29493.47</v>
      </c>
      <c r="J31" s="25"/>
    </row>
    <row r="32" spans="1:10" x14ac:dyDescent="0.3">
      <c r="A32" s="2"/>
      <c r="B32" s="26" t="s">
        <v>37</v>
      </c>
      <c r="C32" s="17"/>
      <c r="D32" s="18"/>
      <c r="E32" s="19"/>
      <c r="F32" s="19"/>
      <c r="G32" s="19"/>
      <c r="H32" s="19"/>
      <c r="I32" s="18"/>
      <c r="J32" s="15"/>
    </row>
    <row r="33" spans="1:11" x14ac:dyDescent="0.3">
      <c r="A33" s="2"/>
      <c r="B33" s="16" t="s">
        <v>38</v>
      </c>
      <c r="C33" s="17"/>
      <c r="D33" s="18">
        <v>0</v>
      </c>
      <c r="E33" s="19">
        <v>281.74</v>
      </c>
      <c r="F33" s="19">
        <v>6491.1400000000012</v>
      </c>
      <c r="G33" s="19">
        <v>12488.82</v>
      </c>
      <c r="H33" s="19">
        <f t="shared" ref="H33:H37" si="9">SUM(D33:G33)</f>
        <v>19261.7</v>
      </c>
      <c r="I33" s="18">
        <v>184805.92999999996</v>
      </c>
      <c r="J33" s="15"/>
    </row>
    <row r="34" spans="1:11" ht="15.6" x14ac:dyDescent="0.3">
      <c r="A34" s="2"/>
      <c r="B34" s="16" t="s">
        <v>39</v>
      </c>
      <c r="C34" s="27"/>
      <c r="D34" s="18">
        <v>12285.71428571429</v>
      </c>
      <c r="E34" s="19">
        <v>8711.49</v>
      </c>
      <c r="F34" s="19">
        <v>13032.59</v>
      </c>
      <c r="G34" s="19">
        <v>16181.32</v>
      </c>
      <c r="H34" s="19">
        <f t="shared" si="9"/>
        <v>50211.114285714291</v>
      </c>
      <c r="I34" s="18">
        <v>9798.7900000000009</v>
      </c>
      <c r="J34" s="15"/>
    </row>
    <row r="35" spans="1:11" x14ac:dyDescent="0.3">
      <c r="B35" s="16" t="s">
        <v>40</v>
      </c>
      <c r="C35" s="17"/>
      <c r="D35" s="18">
        <v>12285.71428571429</v>
      </c>
      <c r="E35" s="19">
        <v>534.78</v>
      </c>
      <c r="F35" s="19">
        <v>9557.4600000000009</v>
      </c>
      <c r="G35" s="19">
        <v>12368.82</v>
      </c>
      <c r="H35" s="19">
        <f t="shared" si="9"/>
        <v>34746.774285714288</v>
      </c>
      <c r="I35" s="18">
        <v>7083.05</v>
      </c>
      <c r="J35" s="15"/>
    </row>
    <row r="36" spans="1:11" x14ac:dyDescent="0.3">
      <c r="B36" s="16" t="s">
        <v>41</v>
      </c>
      <c r="C36" s="17"/>
      <c r="D36" s="18">
        <v>12285.71428571429</v>
      </c>
      <c r="E36" s="19">
        <v>4049.28</v>
      </c>
      <c r="F36" s="19">
        <v>11951.670000000002</v>
      </c>
      <c r="G36" s="19">
        <v>6702.71</v>
      </c>
      <c r="H36" s="19">
        <f t="shared" si="9"/>
        <v>34989.374285714293</v>
      </c>
      <c r="I36" s="18">
        <v>10210.07</v>
      </c>
      <c r="J36" s="15"/>
    </row>
    <row r="37" spans="1:11" x14ac:dyDescent="0.3">
      <c r="B37" s="16" t="s">
        <v>42</v>
      </c>
      <c r="C37" s="17"/>
      <c r="D37" s="18">
        <v>6556.51</v>
      </c>
      <c r="E37" s="19">
        <v>2695.36</v>
      </c>
      <c r="F37" s="19">
        <v>5980.3899999999994</v>
      </c>
      <c r="G37" s="19">
        <v>9309.880000000001</v>
      </c>
      <c r="H37" s="19">
        <f t="shared" si="9"/>
        <v>24542.14</v>
      </c>
      <c r="I37" s="18">
        <v>0</v>
      </c>
      <c r="J37" s="15"/>
    </row>
    <row r="38" spans="1:11" x14ac:dyDescent="0.3">
      <c r="B38" s="21" t="s">
        <v>43</v>
      </c>
      <c r="C38" s="22"/>
      <c r="D38" s="23">
        <f t="shared" ref="D38:I38" si="10">SUM(D33:D37)</f>
        <v>43413.652857142872</v>
      </c>
      <c r="E38" s="24">
        <f t="shared" si="10"/>
        <v>16272.650000000001</v>
      </c>
      <c r="F38" s="24">
        <f t="shared" si="10"/>
        <v>47013.25</v>
      </c>
      <c r="G38" s="24">
        <f t="shared" si="10"/>
        <v>57051.55</v>
      </c>
      <c r="H38" s="24">
        <f t="shared" si="10"/>
        <v>163751.10285714286</v>
      </c>
      <c r="I38" s="23">
        <f t="shared" si="10"/>
        <v>211897.83999999997</v>
      </c>
      <c r="J38" s="25"/>
    </row>
    <row r="39" spans="1:11" ht="16.2" thickBot="1" x14ac:dyDescent="0.35">
      <c r="B39" s="28" t="s">
        <v>44</v>
      </c>
      <c r="C39" s="29"/>
      <c r="D39" s="30">
        <f>D23+D31+D38</f>
        <v>264862.39714285725</v>
      </c>
      <c r="E39" s="31">
        <f>E23+E31+E38</f>
        <v>51617.270000000011</v>
      </c>
      <c r="F39" s="31">
        <f>F23+F31+F38</f>
        <v>272764.24</v>
      </c>
      <c r="G39" s="31">
        <f t="shared" ref="G39:I39" si="11">G23+G31+G38</f>
        <v>400659</v>
      </c>
      <c r="H39" s="31">
        <f t="shared" si="11"/>
        <v>989902.90714285709</v>
      </c>
      <c r="I39" s="30">
        <f t="shared" si="11"/>
        <v>917166.39999999991</v>
      </c>
      <c r="J39" s="32"/>
    </row>
    <row r="40" spans="1:11" ht="5.25" customHeight="1" x14ac:dyDescent="0.3"/>
    <row r="41" spans="1:11" ht="15" thickBot="1" x14ac:dyDescent="0.35">
      <c r="A41" s="33"/>
      <c r="K41" s="34"/>
    </row>
    <row r="42" spans="1:11" x14ac:dyDescent="0.3">
      <c r="A42" s="33"/>
      <c r="B42" s="35" t="s">
        <v>45</v>
      </c>
      <c r="C42" s="36"/>
      <c r="D42" s="36"/>
      <c r="E42" s="36"/>
      <c r="F42" s="36"/>
      <c r="G42" s="36"/>
      <c r="H42" s="37"/>
      <c r="I42" s="37"/>
      <c r="J42" s="38"/>
      <c r="K42" s="34"/>
    </row>
    <row r="43" spans="1:11" ht="16.5" customHeight="1" x14ac:dyDescent="0.3">
      <c r="A43" s="33"/>
      <c r="B43" s="39" t="s">
        <v>46</v>
      </c>
      <c r="C43" s="40"/>
      <c r="D43" s="40"/>
      <c r="E43" s="40"/>
      <c r="F43" s="40"/>
      <c r="G43" s="40"/>
      <c r="H43" s="40"/>
      <c r="I43" s="40"/>
      <c r="J43" s="41"/>
      <c r="K43" s="34"/>
    </row>
    <row r="44" spans="1:11" x14ac:dyDescent="0.3">
      <c r="A44" s="33"/>
      <c r="B44" s="39" t="s">
        <v>47</v>
      </c>
      <c r="C44" s="40"/>
      <c r="D44" s="40"/>
      <c r="E44" s="40"/>
      <c r="F44" s="40"/>
      <c r="G44" s="40"/>
      <c r="H44" s="40"/>
      <c r="I44" s="40"/>
      <c r="J44" s="41"/>
      <c r="K44" s="33"/>
    </row>
    <row r="45" spans="1:11" ht="26.25" customHeight="1" x14ac:dyDescent="0.3">
      <c r="B45" s="51" t="s">
        <v>48</v>
      </c>
      <c r="C45" s="52"/>
      <c r="D45" s="52"/>
      <c r="E45" s="52"/>
      <c r="F45" s="52"/>
      <c r="G45" s="52"/>
      <c r="H45" s="52"/>
      <c r="I45" s="52"/>
      <c r="J45" s="53"/>
    </row>
    <row r="46" spans="1:11" s="42" customFormat="1" x14ac:dyDescent="0.2">
      <c r="B46" s="43" t="s">
        <v>49</v>
      </c>
      <c r="C46" s="34"/>
      <c r="D46" s="34"/>
      <c r="E46" s="34"/>
      <c r="F46" s="34"/>
      <c r="G46" s="34"/>
      <c r="H46" s="34"/>
      <c r="I46" s="34"/>
      <c r="J46" s="44"/>
    </row>
    <row r="47" spans="1:11" ht="15" thickBot="1" x14ac:dyDescent="0.35">
      <c r="B47" s="45"/>
      <c r="C47" s="46"/>
      <c r="D47" s="46"/>
      <c r="E47" s="46"/>
      <c r="F47" s="46"/>
      <c r="G47" s="46"/>
      <c r="H47" s="46"/>
      <c r="I47" s="46"/>
      <c r="J47" s="47"/>
    </row>
    <row r="48" spans="1:11" ht="4.95" customHeight="1" x14ac:dyDescent="0.3">
      <c r="B48" s="34"/>
      <c r="C48" s="34"/>
      <c r="D48" s="34"/>
      <c r="E48" s="34"/>
      <c r="F48" s="34"/>
      <c r="G48" s="34"/>
      <c r="H48" s="34"/>
      <c r="I48" s="34"/>
      <c r="J48" s="34"/>
    </row>
    <row r="49" ht="98.55" customHeight="1" x14ac:dyDescent="0.3"/>
  </sheetData>
  <mergeCells count="3">
    <mergeCell ref="B1:I1"/>
    <mergeCell ref="I2:J2"/>
    <mergeCell ref="B45:J45"/>
  </mergeCells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Myrna Umali</dc:creator>
  <cp:lastModifiedBy>Myrna Umali</cp:lastModifiedBy>
  <cp:lastPrinted>2025-11-02T19:34:14Z</cp:lastPrinted>
  <dcterms:created xsi:type="dcterms:W3CDTF">2025-10-24T03:23:05Z</dcterms:created>
  <dcterms:modified xsi:type="dcterms:W3CDTF">2025-11-20T20:13:03Z</dcterms:modified>
</cp:coreProperties>
</file>